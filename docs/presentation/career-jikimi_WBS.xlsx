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  <extLst>
    <ext uri="GoogleSheetsCustomDataVersion2">
      <go:sheetsCustomData xmlns:go="http://customooxmlschemas.google.com/" r:id="rId5" roundtripDataChecksum="Ame7CbdCxU6shpjfdqJq8sCG17dQbnWD5J7gJaBVFZk="/>
    </ext>
  </extLst>
</workbook>
</file>

<file path=xl/sharedStrings.xml><?xml version="1.0" encoding="utf-8"?>
<sst xmlns="http://schemas.openxmlformats.org/spreadsheetml/2006/main" count="228" uniqueCount="194">
  <si>
    <r>
      <rPr>
        <rFont val="맑은 고딕"/>
        <b/>
        <color rgb="FF1B2A4A"/>
        <sz val="17.0"/>
      </rPr>
      <t xml:space="preserve">career-jikimi — </t>
    </r>
    <r>
      <rPr>
        <rFont val="Noto Sans CJK SC"/>
        <b/>
        <color rgb="FF1B2A4A"/>
        <sz val="17.0"/>
      </rPr>
      <t xml:space="preserve">프로젝트 </t>
    </r>
    <r>
      <rPr>
        <rFont val="맑은 고딕"/>
        <b/>
        <color rgb="FF1B2A4A"/>
        <sz val="17.0"/>
      </rPr>
      <t>WBS</t>
    </r>
  </si>
  <si>
    <t>수행 기간 2026-07-28(화) ~ 08-04(화), 8일 · 인원 2명 (김지환 팀장 / 김연희 팀원) · 문맥 기반 오발송 탐지 시스템</t>
  </si>
  <si>
    <t>WBS</t>
  </si>
  <si>
    <t>단계</t>
  </si>
  <si>
    <t>작업 내용</t>
  </si>
  <si>
    <t>담당</t>
  </si>
  <si>
    <t>시작일</t>
  </si>
  <si>
    <t>종료일</t>
  </si>
  <si>
    <t>기간
(일)</t>
  </si>
  <si>
    <t>산출물</t>
  </si>
  <si>
    <t>진행률</t>
  </si>
  <si>
    <t>비고</t>
  </si>
  <si>
    <t>7/27
월</t>
  </si>
  <si>
    <r>
      <rPr>
        <rFont val="맑은 고딕"/>
        <b/>
        <color rgb="FFFFFFFF"/>
        <sz val="9.0"/>
      </rPr>
      <t xml:space="preserve">7/28
</t>
    </r>
    <r>
      <rPr>
        <rFont val="Noto Sans CJK SC"/>
        <b/>
        <color rgb="FFFFFFFF"/>
        <sz val="9.0"/>
      </rPr>
      <t>화</t>
    </r>
  </si>
  <si>
    <r>
      <rPr>
        <rFont val="맑은 고딕"/>
        <b/>
        <color rgb="FFFFFFFF"/>
        <sz val="9.0"/>
      </rPr>
      <t xml:space="preserve">7/29
</t>
    </r>
    <r>
      <rPr>
        <rFont val="Noto Sans CJK SC"/>
        <b/>
        <color rgb="FFFFFFFF"/>
        <sz val="9.0"/>
      </rPr>
      <t>수</t>
    </r>
  </si>
  <si>
    <r>
      <rPr>
        <rFont val="맑은 고딕"/>
        <b/>
        <color rgb="FFFFFFFF"/>
        <sz val="9.0"/>
      </rPr>
      <t xml:space="preserve">7/30
</t>
    </r>
    <r>
      <rPr>
        <rFont val="Noto Sans CJK SC"/>
        <b/>
        <color rgb="FFFFFFFF"/>
        <sz val="9.0"/>
      </rPr>
      <t>목</t>
    </r>
  </si>
  <si>
    <r>
      <rPr>
        <rFont val="맑은 고딕"/>
        <b/>
        <color rgb="FFFFFFFF"/>
        <sz val="9.0"/>
      </rPr>
      <t xml:space="preserve">7/31
</t>
    </r>
    <r>
      <rPr>
        <rFont val="Noto Sans CJK SC"/>
        <b/>
        <color rgb="FFFFFFFF"/>
        <sz val="9.0"/>
      </rPr>
      <t>금</t>
    </r>
  </si>
  <si>
    <r>
      <rPr>
        <rFont val="맑은 고딕"/>
        <b/>
        <color rgb="FFFFFFFF"/>
        <sz val="9.0"/>
      </rPr>
      <t xml:space="preserve">8/3
</t>
    </r>
    <r>
      <rPr>
        <rFont val="Noto Sans CJK SC"/>
        <b/>
        <color rgb="FFFFFFFF"/>
        <sz val="9.0"/>
      </rPr>
      <t>월</t>
    </r>
  </si>
  <si>
    <r>
      <rPr>
        <rFont val="맑은 고딕"/>
        <b/>
        <color rgb="FFFFFFFF"/>
        <sz val="9.0"/>
      </rPr>
      <t xml:space="preserve">8/4
</t>
    </r>
    <r>
      <rPr>
        <rFont val="Noto Sans CJK SC"/>
        <b/>
        <color rgb="FFFFFFFF"/>
        <sz val="9.0"/>
      </rPr>
      <t>화</t>
    </r>
  </si>
  <si>
    <t>1.1</t>
  </si>
  <si>
    <r>
      <rPr>
        <rFont val="맑은 고딕"/>
        <b/>
        <color rgb="FF5B7BB5"/>
        <sz val="9.0"/>
      </rPr>
      <t xml:space="preserve">1. </t>
    </r>
    <r>
      <rPr>
        <rFont val="Noto Sans CJK SC"/>
        <b/>
        <color rgb="FF5B7BB5"/>
        <sz val="9.0"/>
      </rPr>
      <t>기획</t>
    </r>
  </si>
  <si>
    <t>주제 선정 및 문제 정의</t>
  </si>
  <si>
    <t>김지환, 김연희</t>
  </si>
  <si>
    <t>기획서 초안</t>
  </si>
  <si>
    <t>1.2</t>
  </si>
  <si>
    <r>
      <rPr>
        <rFont val="맑은 고딕"/>
        <b/>
        <color rgb="FF5B7BB5"/>
        <sz val="9.0"/>
      </rPr>
      <t xml:space="preserve">1. </t>
    </r>
    <r>
      <rPr>
        <rFont val="Noto Sans CJK SC"/>
        <b/>
        <color rgb="FF5B7BB5"/>
        <sz val="9.0"/>
      </rPr>
      <t>기획</t>
    </r>
  </si>
  <si>
    <t>개발 환경 구성 (Git · Docker · AI-DLC)</t>
  </si>
  <si>
    <t>김지환</t>
  </si>
  <si>
    <t>저장소, docker-compose</t>
  </si>
  <si>
    <t>1.3</t>
  </si>
  <si>
    <r>
      <rPr>
        <rFont val="맑은 고딕"/>
        <b/>
        <color rgb="FF5B7BB5"/>
        <sz val="9.0"/>
      </rPr>
      <t xml:space="preserve">1. </t>
    </r>
    <r>
      <rPr>
        <rFont val="Noto Sans CJK SC"/>
        <b/>
        <color rgb="FF5B7BB5"/>
        <sz val="9.0"/>
      </rPr>
      <t>기획</t>
    </r>
  </si>
  <si>
    <t>역할 분담 및 일정 수립</t>
  </si>
  <si>
    <r>
      <rPr>
        <rFont val="맑은 고딕"/>
        <color rgb="FF1A1A1A"/>
        <sz val="10.0"/>
      </rPr>
      <t xml:space="preserve">WBS </t>
    </r>
    <r>
      <rPr>
        <rFont val="Noto Sans CJK SC"/>
        <color rgb="FF1A1A1A"/>
        <sz val="10.0"/>
      </rPr>
      <t>초안</t>
    </r>
  </si>
  <si>
    <t>2.1</t>
  </si>
  <si>
    <r>
      <rPr>
        <rFont val="맑은 고딕"/>
        <b/>
        <color rgb="FF3E8E7E"/>
        <sz val="9.0"/>
      </rPr>
      <t xml:space="preserve">2. </t>
    </r>
    <r>
      <rPr>
        <rFont val="Noto Sans CJK SC"/>
        <b/>
        <color rgb="FF3E8E7E"/>
        <sz val="9.0"/>
      </rPr>
      <t>설계</t>
    </r>
  </si>
  <si>
    <t>요구사항 정의 (Intent Capture)</t>
  </si>
  <si>
    <t>intent-statement.md</t>
  </si>
  <si>
    <t>리뷰어 4라운드</t>
  </si>
  <si>
    <t>2.2</t>
  </si>
  <si>
    <r>
      <rPr>
        <rFont val="맑은 고딕"/>
        <b/>
        <color rgb="FF3E8E7E"/>
        <sz val="9.0"/>
      </rPr>
      <t xml:space="preserve">2. </t>
    </r>
    <r>
      <rPr>
        <rFont val="Noto Sans CJK SC"/>
        <b/>
        <color rgb="FF3E8E7E"/>
        <sz val="9.0"/>
      </rPr>
      <t>설계</t>
    </r>
  </si>
  <si>
    <t>범위 정의 (Must / Should / Won't)</t>
  </si>
  <si>
    <t>scope-document.md</t>
  </si>
  <si>
    <t>2.3</t>
  </si>
  <si>
    <r>
      <rPr>
        <rFont val="맑은 고딕"/>
        <b/>
        <color rgb="FF3E8E7E"/>
        <sz val="9.0"/>
      </rPr>
      <t xml:space="preserve">2. </t>
    </r>
    <r>
      <rPr>
        <rFont val="Noto Sans CJK SC"/>
        <b/>
        <color rgb="FF3E8E7E"/>
        <sz val="9.0"/>
      </rPr>
      <t>설계</t>
    </r>
  </si>
  <si>
    <t>아키텍처 설계 · 기술 스택 확정</t>
  </si>
  <si>
    <r>
      <rPr>
        <rFont val="맑은 고딕"/>
        <color rgb="FF1A1A1A"/>
        <sz val="10.0"/>
      </rPr>
      <t>ADR 8</t>
    </r>
    <r>
      <rPr>
        <rFont val="Noto Sans CJK SC"/>
        <color rgb="FF1A1A1A"/>
        <sz val="10.0"/>
      </rPr>
      <t>건</t>
    </r>
  </si>
  <si>
    <r>
      <rPr>
        <rFont val="맑은 고딕"/>
        <color rgb="FF1A1A1A"/>
        <sz val="10.0"/>
      </rPr>
      <t>DB·</t>
    </r>
    <r>
      <rPr>
        <rFont val="Noto Sans CJK SC"/>
        <color rgb="FF1A1A1A"/>
        <sz val="10.0"/>
      </rPr>
      <t>전송</t>
    </r>
    <r>
      <rPr>
        <rFont val="맑은 고딕"/>
        <color rgb="FF1A1A1A"/>
        <sz val="10.0"/>
      </rPr>
      <t>·</t>
    </r>
    <r>
      <rPr>
        <rFont val="Noto Sans CJK SC"/>
        <color rgb="FF1A1A1A"/>
        <sz val="10.0"/>
      </rPr>
      <t>상태관리 결정</t>
    </r>
  </si>
  <si>
    <t>2.4</t>
  </si>
  <si>
    <r>
      <rPr>
        <rFont val="맑은 고딕"/>
        <b/>
        <color rgb="FF3E8E7E"/>
        <sz val="9.0"/>
      </rPr>
      <t xml:space="preserve">2. </t>
    </r>
    <r>
      <rPr>
        <rFont val="Noto Sans CJK SC"/>
        <b/>
        <color rgb="FF3E8E7E"/>
        <sz val="9.0"/>
      </rPr>
      <t>설계</t>
    </r>
  </si>
  <si>
    <t>기능 설계 및 작업 단위 도출</t>
  </si>
  <si>
    <t>기능 설계서 12건</t>
  </si>
  <si>
    <t>단위 5개</t>
  </si>
  <si>
    <t>2.5</t>
  </si>
  <si>
    <r>
      <rPr>
        <rFont val="맑은 고딕"/>
        <b/>
        <color rgb="FF3E8E7E"/>
        <sz val="9.0"/>
      </rPr>
      <t xml:space="preserve">2. </t>
    </r>
    <r>
      <rPr>
        <rFont val="Noto Sans CJK SC"/>
        <b/>
        <color rgb="FF3E8E7E"/>
        <sz val="9.0"/>
      </rPr>
      <t>설계</t>
    </r>
  </si>
  <si>
    <t>데이터 모델 설계</t>
  </si>
  <si>
    <t>스키마 6테이블</t>
  </si>
  <si>
    <t>판정 로그 포함</t>
  </si>
  <si>
    <t>3.1</t>
  </si>
  <si>
    <r>
      <rPr>
        <rFont val="맑은 고딕"/>
        <b/>
        <color rgb="FFC7752A"/>
        <sz val="9.0"/>
      </rPr>
      <t xml:space="preserve">3. </t>
    </r>
    <r>
      <rPr>
        <rFont val="Noto Sans CJK SC"/>
        <b/>
        <color rgb="FFC7752A"/>
        <sz val="9.0"/>
      </rPr>
      <t>구현</t>
    </r>
  </si>
  <si>
    <r>
      <rPr>
        <rFont val="맑은 고딕"/>
        <color rgb="FF1A1A1A"/>
        <sz val="10.0"/>
      </rPr>
      <t xml:space="preserve">foundation — </t>
    </r>
    <r>
      <rPr>
        <rFont val="Noto Sans CJK SC"/>
        <color rgb="FF1A1A1A"/>
        <sz val="10.0"/>
      </rPr>
      <t xml:space="preserve">컨테이너 </t>
    </r>
    <r>
      <rPr>
        <rFont val="맑은 고딕"/>
        <color rgb="FF1A1A1A"/>
        <sz val="10.0"/>
      </rPr>
      <t xml:space="preserve">· DB · </t>
    </r>
    <r>
      <rPr>
        <rFont val="Noto Sans CJK SC"/>
        <color rgb="FF1A1A1A"/>
        <sz val="10.0"/>
      </rPr>
      <t>설정</t>
    </r>
  </si>
  <si>
    <t>기동 가능한 스켈레톤</t>
  </si>
  <si>
    <t>3.2</t>
  </si>
  <si>
    <r>
      <rPr>
        <rFont val="맑은 고딕"/>
        <b/>
        <color rgb="FFC7752A"/>
        <sz val="9.0"/>
      </rPr>
      <t xml:space="preserve">3. </t>
    </r>
    <r>
      <rPr>
        <rFont val="Noto Sans CJK SC"/>
        <b/>
        <color rgb="FFC7752A"/>
        <sz val="9.0"/>
      </rPr>
      <t>구현</t>
    </r>
  </si>
  <si>
    <r>
      <rPr>
        <rFont val="맑은 고딕"/>
        <color rgb="FF1A1A1A"/>
        <sz val="10.0"/>
      </rPr>
      <t xml:space="preserve">auth-friends — </t>
    </r>
    <r>
      <rPr>
        <rFont val="Noto Sans CJK SC"/>
        <color rgb="FF1A1A1A"/>
        <sz val="10.0"/>
      </rPr>
      <t xml:space="preserve">인증 </t>
    </r>
    <r>
      <rPr>
        <rFont val="맑은 고딕"/>
        <color rgb="FF1A1A1A"/>
        <sz val="10.0"/>
      </rPr>
      <t xml:space="preserve">· </t>
    </r>
    <r>
      <rPr>
        <rFont val="Noto Sans CJK SC"/>
        <color rgb="FF1A1A1A"/>
        <sz val="10.0"/>
      </rPr>
      <t>친구 등록</t>
    </r>
  </si>
  <si>
    <r>
      <rPr>
        <rFont val="맑은 고딕"/>
        <color rgb="FF1A1A1A"/>
        <sz val="10.0"/>
      </rPr>
      <t xml:space="preserve">JWT </t>
    </r>
    <r>
      <rPr>
        <rFont val="Noto Sans CJK SC"/>
        <color rgb="FF1A1A1A"/>
        <sz val="10.0"/>
      </rPr>
      <t>인증</t>
    </r>
    <r>
      <rPr>
        <rFont val="맑은 고딕"/>
        <color rgb="FF1A1A1A"/>
        <sz val="10.0"/>
      </rPr>
      <t xml:space="preserve">, </t>
    </r>
    <r>
      <rPr>
        <rFont val="Noto Sans CJK SC"/>
        <color rgb="FF1A1A1A"/>
        <sz val="10.0"/>
      </rPr>
      <t xml:space="preserve">친구 </t>
    </r>
    <r>
      <rPr>
        <rFont val="맑은 고딕"/>
        <color rgb="FF1A1A1A"/>
        <sz val="10.0"/>
      </rPr>
      <t>API</t>
    </r>
  </si>
  <si>
    <t>3.3</t>
  </si>
  <si>
    <r>
      <rPr>
        <rFont val="맑은 고딕"/>
        <b/>
        <color rgb="FFC7752A"/>
        <sz val="9.0"/>
      </rPr>
      <t xml:space="preserve">3. </t>
    </r>
    <r>
      <rPr>
        <rFont val="Noto Sans CJK SC"/>
        <b/>
        <color rgb="FFC7752A"/>
        <sz val="9.0"/>
      </rPr>
      <t>구현</t>
    </r>
  </si>
  <si>
    <r>
      <rPr>
        <rFont val="맑은 고딕"/>
        <color rgb="FF1A1A1A"/>
        <sz val="10.0"/>
      </rPr>
      <t xml:space="preserve">judgment-core — </t>
    </r>
    <r>
      <rPr>
        <rFont val="Noto Sans CJK SC"/>
        <color rgb="FF1A1A1A"/>
        <sz val="10.0"/>
      </rPr>
      <t xml:space="preserve">판정 </t>
    </r>
    <r>
      <rPr>
        <rFont val="맑은 고딕"/>
        <color rgb="FF1A1A1A"/>
        <sz val="10.0"/>
      </rPr>
      <t xml:space="preserve">· </t>
    </r>
    <r>
      <rPr>
        <rFont val="Noto Sans CJK SC"/>
        <color rgb="FF1A1A1A"/>
        <sz val="10.0"/>
      </rPr>
      <t xml:space="preserve">프롬프트 </t>
    </r>
    <r>
      <rPr>
        <rFont val="맑은 고딕"/>
        <color rgb="FF1A1A1A"/>
        <sz val="10.0"/>
      </rPr>
      <t>· CLI</t>
    </r>
  </si>
  <si>
    <t>판정 모듈, report/try</t>
  </si>
  <si>
    <t>3.4</t>
  </si>
  <si>
    <r>
      <rPr>
        <rFont val="맑은 고딕"/>
        <b/>
        <color rgb="FFC7752A"/>
        <sz val="9.0"/>
      </rPr>
      <t xml:space="preserve">3. </t>
    </r>
    <r>
      <rPr>
        <rFont val="Noto Sans CJK SC"/>
        <b/>
        <color rgb="FFC7752A"/>
        <sz val="9.0"/>
      </rPr>
      <t>구현</t>
    </r>
  </si>
  <si>
    <r>
      <rPr>
        <rFont val="맑은 고딕"/>
        <color rgb="FF1A1A1A"/>
        <sz val="10.0"/>
      </rPr>
      <t xml:space="preserve">rooms-realtime — </t>
    </r>
    <r>
      <rPr>
        <rFont val="Noto Sans CJK SC"/>
        <color rgb="FF1A1A1A"/>
        <sz val="10.0"/>
      </rPr>
      <t xml:space="preserve">방 </t>
    </r>
    <r>
      <rPr>
        <rFont val="맑은 고딕"/>
        <color rgb="FF1A1A1A"/>
        <sz val="10.0"/>
      </rPr>
      <t>· WebSocket</t>
    </r>
  </si>
  <si>
    <t>실시간 전송</t>
  </si>
  <si>
    <t>3.5</t>
  </si>
  <si>
    <r>
      <rPr>
        <rFont val="맑은 고딕"/>
        <b/>
        <color rgb="FFC7752A"/>
        <sz val="9.0"/>
      </rPr>
      <t xml:space="preserve">3. </t>
    </r>
    <r>
      <rPr>
        <rFont val="Noto Sans CJK SC"/>
        <b/>
        <color rgb="FFC7752A"/>
        <sz val="9.0"/>
      </rPr>
      <t>구현</t>
    </r>
  </si>
  <si>
    <r>
      <rPr>
        <rFont val="맑은 고딕"/>
        <color rgb="FF1A1A1A"/>
        <sz val="10.0"/>
      </rPr>
      <t xml:space="preserve">messaging — </t>
    </r>
    <r>
      <rPr>
        <rFont val="Noto Sans CJK SC"/>
        <color rgb="FF1A1A1A"/>
        <sz val="10.0"/>
      </rPr>
      <t xml:space="preserve">전송 </t>
    </r>
    <r>
      <rPr>
        <rFont val="맑은 고딕"/>
        <color rgb="FF1A1A1A"/>
        <sz val="10.0"/>
      </rPr>
      <t xml:space="preserve">· seq </t>
    </r>
    <r>
      <rPr>
        <rFont val="Noto Sans CJK SC"/>
        <color rgb="FF1A1A1A"/>
        <sz val="10.0"/>
      </rPr>
      <t xml:space="preserve">채번 </t>
    </r>
    <r>
      <rPr>
        <rFont val="맑은 고딕"/>
        <color rgb="FF1A1A1A"/>
        <sz val="10.0"/>
      </rPr>
      <t xml:space="preserve">· </t>
    </r>
    <r>
      <rPr>
        <rFont val="Noto Sans CJK SC"/>
        <color rgb="FF1A1A1A"/>
        <sz val="10.0"/>
      </rPr>
      <t>히스토리</t>
    </r>
  </si>
  <si>
    <t>전송 오케스트레이션</t>
  </si>
  <si>
    <t>동시성 결함 4건 수정</t>
  </si>
  <si>
    <t>3.6</t>
  </si>
  <si>
    <r>
      <rPr>
        <rFont val="맑은 고딕"/>
        <b/>
        <color rgb="FFC7752A"/>
        <sz val="9.0"/>
      </rPr>
      <t xml:space="preserve">3. </t>
    </r>
    <r>
      <rPr>
        <rFont val="Noto Sans CJK SC"/>
        <b/>
        <color rgb="FFC7752A"/>
        <sz val="9.0"/>
      </rPr>
      <t>구현</t>
    </r>
  </si>
  <si>
    <t>프론트엔드 화면 구현</t>
  </si>
  <si>
    <r>
      <rPr>
        <rFont val="맑은 고딕"/>
        <color rgb="FF1A1A1A"/>
        <sz val="10.0"/>
      </rPr>
      <t xml:space="preserve">React </t>
    </r>
    <r>
      <rPr>
        <rFont val="Noto Sans CJK SC"/>
        <color rgb="FF1A1A1A"/>
        <sz val="10.0"/>
      </rPr>
      <t xml:space="preserve">화면 </t>
    </r>
    <r>
      <rPr>
        <rFont val="맑은 고딕"/>
        <color rgb="FF1A1A1A"/>
        <sz val="10.0"/>
      </rPr>
      <t>5</t>
    </r>
    <r>
      <rPr>
        <rFont val="Noto Sans CJK SC"/>
        <color rgb="FF1A1A1A"/>
        <sz val="10.0"/>
      </rPr>
      <t>종</t>
    </r>
  </si>
  <si>
    <t>3.7</t>
  </si>
  <si>
    <r>
      <rPr>
        <rFont val="맑은 고딕"/>
        <b/>
        <color rgb="FFC7752A"/>
        <sz val="9.0"/>
      </rPr>
      <t xml:space="preserve">3. </t>
    </r>
    <r>
      <rPr>
        <rFont val="Noto Sans CJK SC"/>
        <b/>
        <color rgb="FFC7752A"/>
        <sz val="9.0"/>
      </rPr>
      <t>구현</t>
    </r>
  </si>
  <si>
    <t>빌드 · 테스트</t>
  </si>
  <si>
    <t>백엔드 314 / 프론트 130</t>
  </si>
  <si>
    <t>종단 스모크 29/29</t>
  </si>
  <si>
    <t>4.1</t>
  </si>
  <si>
    <r>
      <rPr>
        <rFont val="맑은 고딕"/>
        <b/>
        <color rgb="FF7A5BA6"/>
        <sz val="9.0"/>
      </rPr>
      <t xml:space="preserve">4. </t>
    </r>
    <r>
      <rPr>
        <rFont val="Noto Sans CJK SC"/>
        <b/>
        <color rgb="FF7A5BA6"/>
        <sz val="9.0"/>
      </rPr>
      <t>데이터셋</t>
    </r>
  </si>
  <si>
    <r>
      <rPr>
        <rFont val="맑은 고딕"/>
        <color rgb="FF1A1A1A"/>
        <sz val="10.0"/>
      </rPr>
      <t>v1 100</t>
    </r>
    <r>
      <rPr>
        <rFont val="Noto Sans CJK SC"/>
        <color rgb="FF1A1A1A"/>
        <sz val="10.0"/>
      </rPr>
      <t>행 제작 및 누출 발견</t>
    </r>
  </si>
  <si>
    <t>김연희</t>
  </si>
  <si>
    <r>
      <rPr>
        <rFont val="맑은 고딕"/>
        <color rgb="FF1A1A1A"/>
        <sz val="10.0"/>
      </rPr>
      <t>100</t>
    </r>
    <r>
      <rPr>
        <rFont val="Noto Sans CJK SC"/>
        <color rgb="FF1A1A1A"/>
        <sz val="10.0"/>
      </rPr>
      <t>행 데이터셋</t>
    </r>
  </si>
  <si>
    <t>response-only 0.940</t>
  </si>
  <si>
    <t>4.2</t>
  </si>
  <si>
    <r>
      <rPr>
        <rFont val="맑은 고딕"/>
        <b/>
        <color rgb="FF7A5BA6"/>
        <sz val="9.0"/>
      </rPr>
      <t xml:space="preserve">4. </t>
    </r>
    <r>
      <rPr>
        <rFont val="Noto Sans CJK SC"/>
        <b/>
        <color rgb="FF7A5BA6"/>
        <sz val="9.0"/>
      </rPr>
      <t>데이터셋</t>
    </r>
  </si>
  <si>
    <r>
      <rPr>
        <rFont val="맑은 고딕"/>
        <color rgb="FF1A1A1A"/>
        <sz val="10.0"/>
      </rPr>
      <t xml:space="preserve">v2 · v2.5 </t>
    </r>
    <r>
      <rPr>
        <rFont val="Noto Sans CJK SC"/>
        <color rgb="FF1A1A1A"/>
        <sz val="10.0"/>
      </rPr>
      <t>확장</t>
    </r>
  </si>
  <si>
    <r>
      <rPr>
        <rFont val="맑은 고딕"/>
        <color rgb="FF1A1A1A"/>
        <sz val="10.0"/>
      </rPr>
      <t>744</t>
    </r>
    <r>
      <rPr>
        <rFont val="Noto Sans CJK SC"/>
        <color rgb="FF1A1A1A"/>
        <sz val="10.0"/>
      </rPr>
      <t>행 통합본</t>
    </r>
  </si>
  <si>
    <t>4.3</t>
  </si>
  <si>
    <r>
      <rPr>
        <rFont val="맑은 고딕"/>
        <b/>
        <color rgb="FF7A5BA6"/>
        <sz val="9.0"/>
      </rPr>
      <t xml:space="preserve">4. </t>
    </r>
    <r>
      <rPr>
        <rFont val="Noto Sans CJK SC"/>
        <b/>
        <color rgb="FF7A5BA6"/>
        <sz val="9.0"/>
      </rPr>
      <t>데이터셋</t>
    </r>
  </si>
  <si>
    <r>
      <rPr>
        <rFont val="맑은 고딕"/>
        <color rgb="FF1A1A1A"/>
        <sz val="10.0"/>
      </rPr>
      <t>v3 1000</t>
    </r>
    <r>
      <rPr>
        <rFont val="Noto Sans CJK SC"/>
        <color rgb="FF1A1A1A"/>
        <sz val="10.0"/>
      </rPr>
      <t>행 재설계</t>
    </r>
  </si>
  <si>
    <t>training_dataset_v3_1000</t>
  </si>
  <si>
    <t>응답 500개 양쪽 라벨</t>
  </si>
  <si>
    <t>4.4</t>
  </si>
  <si>
    <r>
      <rPr>
        <rFont val="맑은 고딕"/>
        <b/>
        <color rgb="FF7A5BA6"/>
        <sz val="9.0"/>
      </rPr>
      <t xml:space="preserve">4. </t>
    </r>
    <r>
      <rPr>
        <rFont val="Noto Sans CJK SC"/>
        <b/>
        <color rgb="FF7A5BA6"/>
        <sz val="9.0"/>
      </rPr>
      <t>데이터셋</t>
    </r>
  </si>
  <si>
    <t>평가셋 2종 제작</t>
  </si>
  <si>
    <t>test_dataset_100 / _hard</t>
  </si>
  <si>
    <t>학습과 중복 0건</t>
  </si>
  <si>
    <t>4.5</t>
  </si>
  <si>
    <r>
      <rPr>
        <rFont val="맑은 고딕"/>
        <b/>
        <color rgb="FF7A5BA6"/>
        <sz val="9.0"/>
      </rPr>
      <t xml:space="preserve">4. </t>
    </r>
    <r>
      <rPr>
        <rFont val="Noto Sans CJK SC"/>
        <b/>
        <color rgb="FF7A5BA6"/>
        <sz val="9.0"/>
      </rPr>
      <t>데이터셋</t>
    </r>
  </si>
  <si>
    <t>데이터셋 문서화</t>
  </si>
  <si>
    <t>README_dataset v2 · v2.5</t>
  </si>
  <si>
    <t>5.1</t>
  </si>
  <si>
    <r>
      <rPr>
        <rFont val="맑은 고딕"/>
        <b/>
        <color rgb="FF1B2A4A"/>
        <sz val="9.0"/>
      </rPr>
      <t xml:space="preserve">5. </t>
    </r>
    <r>
      <rPr>
        <rFont val="Noto Sans CJK SC"/>
        <b/>
        <color rgb="FF1B2A4A"/>
        <sz val="9.0"/>
      </rPr>
      <t>모델</t>
    </r>
  </si>
  <si>
    <r>
      <rPr>
        <rFont val="맑은 고딕"/>
        <color rgb="FF1A1A1A"/>
        <sz val="10.0"/>
      </rPr>
      <t xml:space="preserve">A.X-Encoder </t>
    </r>
    <r>
      <rPr>
        <rFont val="Noto Sans CJK SC"/>
        <color rgb="FF1A1A1A"/>
        <sz val="10.0"/>
      </rPr>
      <t>파인튜닝</t>
    </r>
  </si>
  <si>
    <r>
      <rPr>
        <rFont val="맑은 고딕"/>
        <color rgb="FF1A1A1A"/>
        <sz val="10.0"/>
      </rPr>
      <t xml:space="preserve">context_checker </t>
    </r>
    <r>
      <rPr>
        <rFont val="Noto Sans CJK SC"/>
        <color rgb="FF1A1A1A"/>
        <sz val="10.0"/>
      </rPr>
      <t>모델</t>
    </r>
  </si>
  <si>
    <t>EPOCHS 4 · LR 5e-5</t>
  </si>
  <si>
    <t>5.2</t>
  </si>
  <si>
    <r>
      <rPr>
        <rFont val="맑은 고딕"/>
        <b/>
        <color rgb="FF1B2A4A"/>
        <sz val="9.0"/>
      </rPr>
      <t xml:space="preserve">5. </t>
    </r>
    <r>
      <rPr>
        <rFont val="Noto Sans CJK SC"/>
        <b/>
        <color rgb="FF1B2A4A"/>
        <sz val="9.0"/>
      </rPr>
      <t>모델</t>
    </r>
  </si>
  <si>
    <t>화자 익명화 적용 · 효과 검증</t>
  </si>
  <si>
    <t>익명화 규칙</t>
  </si>
  <si>
    <t>과적합 격차 0.050→-0.005</t>
  </si>
  <si>
    <t>5.3</t>
  </si>
  <si>
    <r>
      <rPr>
        <rFont val="맑은 고딕"/>
        <b/>
        <color rgb="FF1B2A4A"/>
        <sz val="9.0"/>
      </rPr>
      <t xml:space="preserve">5. </t>
    </r>
    <r>
      <rPr>
        <rFont val="Noto Sans CJK SC"/>
        <b/>
        <color rgb="FF1B2A4A"/>
        <sz val="9.0"/>
      </rPr>
      <t>모델</t>
    </r>
  </si>
  <si>
    <t>교차검증 · 절제 실험</t>
  </si>
  <si>
    <t>OOF, swapped/empty</t>
  </si>
  <si>
    <t>하락폭 +0.368</t>
  </si>
  <si>
    <t>5.4</t>
  </si>
  <si>
    <r>
      <rPr>
        <rFont val="맑은 고딕"/>
        <b/>
        <color rgb="FF1B2A4A"/>
        <sz val="9.0"/>
      </rPr>
      <t xml:space="preserve">5. </t>
    </r>
    <r>
      <rPr>
        <rFont val="Noto Sans CJK SC"/>
        <b/>
        <color rgb="FF1B2A4A"/>
        <sz val="9.0"/>
      </rPr>
      <t>모델</t>
    </r>
  </si>
  <si>
    <t>평가셋 성능 측정</t>
  </si>
  <si>
    <t>판정_성능_보고.md</t>
  </si>
  <si>
    <r>
      <rPr>
        <rFont val="맑은 고딕"/>
        <color rgb="FF1A1A1A"/>
        <sz val="10.0"/>
      </rPr>
      <t>AUC 1.000 / FP 0</t>
    </r>
    <r>
      <rPr>
        <rFont val="Noto Sans CJK SC"/>
        <color rgb="FF1A1A1A"/>
        <sz val="10.0"/>
      </rPr>
      <t>건</t>
    </r>
  </si>
  <si>
    <t>5.5</t>
  </si>
  <si>
    <r>
      <rPr>
        <rFont val="맑은 고딕"/>
        <b/>
        <color rgb="FF1B2A4A"/>
        <sz val="9.0"/>
      </rPr>
      <t xml:space="preserve">5. </t>
    </r>
    <r>
      <rPr>
        <rFont val="Noto Sans CJK SC"/>
        <b/>
        <color rgb="FF1B2A4A"/>
        <sz val="9.0"/>
      </rPr>
      <t>모델</t>
    </r>
  </si>
  <si>
    <t>판정 백엔드 추상화</t>
  </si>
  <si>
    <r>
      <rPr>
        <rFont val="맑은 고딕"/>
        <color rgb="FF1A1A1A"/>
        <sz val="10.0"/>
      </rPr>
      <t xml:space="preserve">backend.py </t>
    </r>
    <r>
      <rPr>
        <rFont val="Noto Sans CJK SC"/>
        <color rgb="FF1A1A1A"/>
        <sz val="10.0"/>
      </rPr>
      <t>라우터</t>
    </r>
  </si>
  <si>
    <t>encoder/openai/ollama</t>
  </si>
  <si>
    <t>5.6</t>
  </si>
  <si>
    <r>
      <rPr>
        <rFont val="맑은 고딕"/>
        <b/>
        <color rgb="FF1B2A4A"/>
        <sz val="9.0"/>
      </rPr>
      <t xml:space="preserve">5. </t>
    </r>
    <r>
      <rPr>
        <rFont val="Noto Sans CJK SC"/>
        <b/>
        <color rgb="FF1B2A4A"/>
        <sz val="9.0"/>
      </rPr>
      <t>모델</t>
    </r>
  </si>
  <si>
    <t>웹앱 적용 및 회귀 테스트</t>
  </si>
  <si>
    <t>테스트 355 passed</t>
  </si>
  <si>
    <r>
      <rPr>
        <rFont val="맑은 고딕"/>
        <color rgb="FF1A1A1A"/>
        <sz val="10.0"/>
      </rPr>
      <t xml:space="preserve">API </t>
    </r>
    <r>
      <rPr>
        <rFont val="Noto Sans CJK SC"/>
        <color rgb="FF1A1A1A"/>
        <sz val="10.0"/>
      </rPr>
      <t>키 없이 판정 동작</t>
    </r>
  </si>
  <si>
    <r>
      <rPr>
        <rFont val="맑은 고딕"/>
        <b/>
        <color rgb="FFB5504E"/>
        <sz val="9.0"/>
      </rPr>
      <t xml:space="preserve">6. </t>
    </r>
    <r>
      <rPr>
        <rFont val="Noto Sans CJK SC"/>
        <b/>
        <color rgb="FFB5504E"/>
        <sz val="9.0"/>
      </rPr>
      <t>검증</t>
    </r>
    <r>
      <rPr>
        <rFont val="맑은 고딕"/>
        <b/>
        <color rgb="FFB5504E"/>
        <sz val="9.0"/>
      </rPr>
      <t>·</t>
    </r>
    <r>
      <rPr>
        <rFont val="Noto Sans CJK SC"/>
        <b/>
        <color rgb="FFB5504E"/>
        <sz val="9.0"/>
      </rPr>
      <t>보완</t>
    </r>
  </si>
  <si>
    <t>학습 곡선 계측 (EPOCHS 검증)</t>
  </si>
  <si>
    <t>learning_curve.csv</t>
  </si>
  <si>
    <r>
      <rPr>
        <rFont val="맑은 고딕"/>
        <color rgb="FF1A1A1A"/>
        <sz val="10.0"/>
      </rPr>
      <t xml:space="preserve">16 epoch · EPOCHS 4 </t>
    </r>
    <r>
      <rPr>
        <rFont val="Noto Sans CJK SC"/>
        <color rgb="FF1A1A1A"/>
        <sz val="10.0"/>
      </rPr>
      <t>확인</t>
    </r>
  </si>
  <si>
    <r>
      <rPr>
        <rFont val="맑은 고딕"/>
        <b/>
        <color rgb="FFB5504E"/>
        <sz val="9.0"/>
      </rPr>
      <t xml:space="preserve">6. </t>
    </r>
    <r>
      <rPr>
        <rFont val="Noto Sans CJK SC"/>
        <b/>
        <color rgb="FFB5504E"/>
        <sz val="9.0"/>
      </rPr>
      <t>검증</t>
    </r>
    <r>
      <rPr>
        <rFont val="맑은 고딕"/>
        <b/>
        <color rgb="FFB5504E"/>
        <sz val="9.0"/>
      </rPr>
      <t>·</t>
    </r>
    <r>
      <rPr>
        <rFont val="Noto Sans CJK SC"/>
        <b/>
        <color rgb="FFB5504E"/>
        <sz val="9.0"/>
      </rPr>
      <t>보완</t>
    </r>
  </si>
  <si>
    <r>
      <rPr>
        <rFont val="맑은 고딕"/>
        <color rgb="FF1A1A1A"/>
        <sz val="10.0"/>
      </rPr>
      <t xml:space="preserve">threshold </t>
    </r>
    <r>
      <rPr>
        <rFont val="Noto Sans CJK SC"/>
        <color rgb="FF1A1A1A"/>
        <sz val="10.0"/>
      </rPr>
      <t xml:space="preserve">설정 오류 발견 </t>
    </r>
    <r>
      <rPr>
        <rFont val="맑은 고딕"/>
        <color rgb="FF1A1A1A"/>
        <sz val="10.0"/>
      </rPr>
      <t xml:space="preserve">· </t>
    </r>
    <r>
      <rPr>
        <rFont val="Noto Sans CJK SC"/>
        <color rgb="FF1A1A1A"/>
        <sz val="10.0"/>
      </rPr>
      <t>수정</t>
    </r>
  </si>
  <si>
    <t>.env ENCODER_THRESHOLD</t>
  </si>
  <si>
    <t>0.99 → 0.7</t>
  </si>
  <si>
    <r>
      <rPr>
        <rFont val="맑은 고딕"/>
        <b/>
        <color rgb="FFB5504E"/>
        <sz val="9.0"/>
      </rPr>
      <t xml:space="preserve">6. </t>
    </r>
    <r>
      <rPr>
        <rFont val="Noto Sans CJK SC"/>
        <b/>
        <color rgb="FFB5504E"/>
        <sz val="9.0"/>
      </rPr>
      <t>검증</t>
    </r>
    <r>
      <rPr>
        <rFont val="맑은 고딕"/>
        <b/>
        <color rgb="FFB5504E"/>
        <sz val="9.0"/>
      </rPr>
      <t>·</t>
    </r>
    <r>
      <rPr>
        <rFont val="Noto Sans CJK SC"/>
        <b/>
        <color rgb="FFB5504E"/>
        <sz val="9.0"/>
      </rPr>
      <t>보완</t>
    </r>
  </si>
  <si>
    <t>독립 평가 스크립트 작성 · 재현</t>
  </si>
  <si>
    <t>scripts/eval_testset.py</t>
  </si>
  <si>
    <t>단일 요청 지연 확정</t>
  </si>
  <si>
    <t>7.1</t>
  </si>
  <si>
    <r>
      <rPr>
        <rFont val="맑은 고딕"/>
        <b/>
        <color rgb="FF4A7C2F"/>
        <sz val="9.0"/>
      </rPr>
      <t xml:space="preserve">7. </t>
    </r>
    <r>
      <rPr>
        <rFont val="Noto Sans CJK SC"/>
        <b/>
        <color rgb="FF4A7C2F"/>
        <sz val="9.0"/>
      </rPr>
      <t>발표 준비</t>
    </r>
  </si>
  <si>
    <t>성능 보고서 정리</t>
  </si>
  <si>
    <t>7.2</t>
  </si>
  <si>
    <r>
      <rPr>
        <rFont val="맑은 고딕"/>
        <b/>
        <color rgb="FF4A7C2F"/>
        <sz val="9.0"/>
      </rPr>
      <t xml:space="preserve">7. </t>
    </r>
    <r>
      <rPr>
        <rFont val="Noto Sans CJK SC"/>
        <b/>
        <color rgb="FF4A7C2F"/>
        <sz val="9.0"/>
      </rPr>
      <t>발표 준비</t>
    </r>
  </si>
  <si>
    <r>
      <rPr>
        <rFont val="맑은 고딕"/>
        <color rgb="FF1A1A1A"/>
        <sz val="10.0"/>
      </rPr>
      <t xml:space="preserve">README </t>
    </r>
    <r>
      <rPr>
        <rFont val="Noto Sans CJK SC"/>
        <color rgb="FF1A1A1A"/>
        <sz val="10.0"/>
      </rPr>
      <t>재작성</t>
    </r>
  </si>
  <si>
    <t>README.md v2.0</t>
  </si>
  <si>
    <t>7.3</t>
  </si>
  <si>
    <r>
      <rPr>
        <rFont val="맑은 고딕"/>
        <b/>
        <color rgb="FF4A7C2F"/>
        <sz val="9.0"/>
      </rPr>
      <t xml:space="preserve">7. </t>
    </r>
    <r>
      <rPr>
        <rFont val="Noto Sans CJK SC"/>
        <b/>
        <color rgb="FF4A7C2F"/>
        <sz val="9.0"/>
      </rPr>
      <t>발표 준비</t>
    </r>
  </si>
  <si>
    <t>발표용 그래프 제작</t>
  </si>
  <si>
    <t>그래프 5종 · 해석 가이드</t>
  </si>
  <si>
    <t>7.4</t>
  </si>
  <si>
    <r>
      <rPr>
        <rFont val="맑은 고딕"/>
        <b/>
        <color rgb="FF4A7C2F"/>
        <sz val="9.0"/>
      </rPr>
      <t xml:space="preserve">7. </t>
    </r>
    <r>
      <rPr>
        <rFont val="Noto Sans CJK SC"/>
        <b/>
        <color rgb="FF4A7C2F"/>
        <sz val="9.0"/>
      </rPr>
      <t>발표 준비</t>
    </r>
  </si>
  <si>
    <t>발표자료 작성</t>
  </si>
  <si>
    <t>발표자료 16장</t>
  </si>
  <si>
    <t>7.5</t>
  </si>
  <si>
    <r>
      <rPr>
        <rFont val="맑은 고딕"/>
        <b/>
        <color rgb="FF4A7C2F"/>
        <sz val="9.0"/>
      </rPr>
      <t xml:space="preserve">7. </t>
    </r>
    <r>
      <rPr>
        <rFont val="Noto Sans CJK SC"/>
        <b/>
        <color rgb="FF4A7C2F"/>
        <sz val="9.0"/>
      </rPr>
      <t>발표 준비</t>
    </r>
  </si>
  <si>
    <t>시연 영상 촬영 · 편집</t>
  </si>
  <si>
    <t>시연 영상 60초</t>
  </si>
  <si>
    <t>슬라이드 6장에 삽입</t>
  </si>
  <si>
    <t>7.6</t>
  </si>
  <si>
    <r>
      <rPr>
        <rFont val="맑은 고딕"/>
        <b/>
        <color rgb="FF4A7C2F"/>
        <sz val="9.0"/>
      </rPr>
      <t xml:space="preserve">7. </t>
    </r>
    <r>
      <rPr>
        <rFont val="Noto Sans CJK SC"/>
        <b/>
        <color rgb="FF4A7C2F"/>
        <sz val="9.0"/>
      </rPr>
      <t>발표 준비</t>
    </r>
  </si>
  <si>
    <t>리허설 · 예상 질문 정리</t>
  </si>
  <si>
    <t>발표 노트</t>
  </si>
  <si>
    <t>7.7</t>
  </si>
  <si>
    <r>
      <rPr>
        <rFont val="맑은 고딕"/>
        <b/>
        <color rgb="FF4A7C2F"/>
        <sz val="9.0"/>
      </rPr>
      <t xml:space="preserve">7. </t>
    </r>
    <r>
      <rPr>
        <rFont val="Noto Sans CJK SC"/>
        <b/>
        <color rgb="FF4A7C2F"/>
        <sz val="9.0"/>
      </rPr>
      <t>발표 준비</t>
    </r>
  </si>
  <si>
    <t>최종 발표</t>
  </si>
  <si>
    <t>발표</t>
  </si>
  <si>
    <t>합계</t>
  </si>
  <si>
    <t>전체 진행률</t>
  </si>
  <si>
    <t>범례</t>
  </si>
  <si>
    <r>
      <rPr>
        <rFont val="맑은 고딕"/>
        <color rgb="FF1A1A1A"/>
        <sz val="9.0"/>
      </rPr>
      <t xml:space="preserve">1. </t>
    </r>
    <r>
      <rPr>
        <rFont val="Noto Sans CJK SC"/>
        <color rgb="FF1A1A1A"/>
        <sz val="9.0"/>
      </rPr>
      <t>기획</t>
    </r>
  </si>
  <si>
    <r>
      <rPr>
        <rFont val="맑은 고딕"/>
        <color rgb="FF1A1A1A"/>
        <sz val="9.0"/>
      </rPr>
      <t xml:space="preserve">2. </t>
    </r>
    <r>
      <rPr>
        <rFont val="Noto Sans CJK SC"/>
        <color rgb="FF1A1A1A"/>
        <sz val="9.0"/>
      </rPr>
      <t>설계</t>
    </r>
  </si>
  <si>
    <r>
      <rPr>
        <rFont val="맑은 고딕"/>
        <color rgb="FF1A1A1A"/>
        <sz val="9.0"/>
      </rPr>
      <t xml:space="preserve">3. </t>
    </r>
    <r>
      <rPr>
        <rFont val="Noto Sans CJK SC"/>
        <color rgb="FF1A1A1A"/>
        <sz val="9.0"/>
      </rPr>
      <t>구현</t>
    </r>
  </si>
  <si>
    <r>
      <rPr>
        <rFont val="맑은 고딕"/>
        <color rgb="FF1A1A1A"/>
        <sz val="9.0"/>
      </rPr>
      <t xml:space="preserve">4. </t>
    </r>
    <r>
      <rPr>
        <rFont val="Noto Sans CJK SC"/>
        <color rgb="FF1A1A1A"/>
        <sz val="9.0"/>
      </rPr>
      <t>데이터셋</t>
    </r>
  </si>
  <si>
    <r>
      <rPr>
        <rFont val="맑은 고딕"/>
        <color rgb="FF1A1A1A"/>
        <sz val="9.0"/>
      </rPr>
      <t xml:space="preserve">5. </t>
    </r>
    <r>
      <rPr>
        <rFont val="Noto Sans CJK SC"/>
        <color rgb="FF1A1A1A"/>
        <sz val="9.0"/>
      </rPr>
      <t>모델</t>
    </r>
  </si>
  <si>
    <r>
      <rPr>
        <rFont val="맑은 고딕"/>
        <color rgb="FF1A1A1A"/>
        <sz val="9.0"/>
      </rPr>
      <t xml:space="preserve">6. </t>
    </r>
    <r>
      <rPr>
        <rFont val="Noto Sans CJK SC"/>
        <color rgb="FF1A1A1A"/>
        <sz val="9.0"/>
      </rPr>
      <t>검증</t>
    </r>
    <r>
      <rPr>
        <rFont val="맑은 고딕"/>
        <color rgb="FF1A1A1A"/>
        <sz val="9.0"/>
      </rPr>
      <t>·</t>
    </r>
    <r>
      <rPr>
        <rFont val="Noto Sans CJK SC"/>
        <color rgb="FF1A1A1A"/>
        <sz val="9.0"/>
      </rPr>
      <t>보완</t>
    </r>
  </si>
  <si>
    <r>
      <rPr>
        <rFont val="맑은 고딕"/>
        <color rgb="FF1A1A1A"/>
        <sz val="9.0"/>
      </rPr>
      <t xml:space="preserve">7. </t>
    </r>
    <r>
      <rPr>
        <rFont val="Noto Sans CJK SC"/>
        <color rgb="FF1A1A1A"/>
        <sz val="9.0"/>
      </rPr>
      <t>발표 준비</t>
    </r>
  </si>
  <si>
    <t>주말</t>
  </si>
  <si>
    <r>
      <rPr>
        <rFont val="맑은 고딕"/>
        <color rgb="FF8A93A8"/>
        <sz val="9.0"/>
      </rPr>
      <t xml:space="preserve">· </t>
    </r>
    <r>
      <rPr>
        <rFont val="Noto Sans CJK SC"/>
        <color rgb="FF8A93A8"/>
        <sz val="9.0"/>
      </rPr>
      <t>진행률과 담당은 직접 수정하는 칸입니다</t>
    </r>
    <r>
      <rPr>
        <rFont val="맑은 고딕"/>
        <color rgb="FF8A93A8"/>
        <sz val="9.0"/>
      </rPr>
      <t xml:space="preserve">. </t>
    </r>
    <r>
      <rPr>
        <rFont val="Noto Sans CJK SC"/>
        <color rgb="FF8A93A8"/>
        <sz val="9.0"/>
      </rPr>
      <t>기간</t>
    </r>
    <r>
      <rPr>
        <rFont val="맑은 고딕"/>
        <color rgb="FF8A93A8"/>
        <sz val="9.0"/>
      </rPr>
      <t>(G</t>
    </r>
    <r>
      <rPr>
        <rFont val="Noto Sans CJK SC"/>
        <color rgb="FF8A93A8"/>
        <sz val="9.0"/>
      </rPr>
      <t>열</t>
    </r>
    <r>
      <rPr>
        <rFont val="맑은 고딕"/>
        <color rgb="FF8A93A8"/>
        <sz val="9.0"/>
      </rPr>
      <t>)</t>
    </r>
    <r>
      <rPr>
        <rFont val="Noto Sans CJK SC"/>
        <color rgb="FF8A93A8"/>
        <sz val="9.0"/>
      </rPr>
      <t>과 합계는 수식이므로 건드리지 마세요</t>
    </r>
    <r>
      <rPr>
        <rFont val="맑은 고딕"/>
        <color rgb="FF8A93A8"/>
        <sz val="9.0"/>
      </rPr>
      <t>.</t>
    </r>
  </si>
  <si>
    <r>
      <rPr>
        <rFont val="맑은 고딕"/>
        <color rgb="FF8A93A8"/>
        <sz val="9.0"/>
      </rPr>
      <t xml:space="preserve">· </t>
    </r>
    <r>
      <rPr>
        <rFont val="Noto Sans CJK SC"/>
        <color rgb="FF8A93A8"/>
        <sz val="9.0"/>
      </rPr>
      <t xml:space="preserve">작업 이력은 </t>
    </r>
    <r>
      <rPr>
        <rFont val="맑은 고딕"/>
        <color rgb="FF8A93A8"/>
        <sz val="9.0"/>
      </rPr>
      <t xml:space="preserve">docs/daily </t>
    </r>
    <r>
      <rPr>
        <rFont val="Noto Sans CJK SC"/>
        <color rgb="FF8A93A8"/>
        <sz val="9.0"/>
      </rPr>
      <t>기록과 저장소 파일 타임스탬프를 근거로 작성했습니다</t>
    </r>
    <r>
      <rPr>
        <rFont val="맑은 고딕"/>
        <color rgb="FF8A93A8"/>
        <sz val="9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</si>
</sst>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\-dd"/>
  </numFmts>
  <fonts count="34">
    <font>
      <sz val="11.0"/>
      <color theme="1"/>
      <name val="Calibri"/>
      <scheme val="minor"/>
    </font>
    <font>
      <b/>
      <sz val="17.0"/>
      <color rgb="FF1B2A4A"/>
      <name val="Malgun Gothic"/>
    </font>
    <font>
      <sz val="10.0"/>
      <color rgb="FF52514E"/>
      <name val="Noto Sans"/>
    </font>
    <font>
      <sz val="11.0"/>
      <color theme="1"/>
      <name val="Calibri"/>
    </font>
    <font>
      <b/>
      <sz val="10.0"/>
      <color rgb="FFFFFFFF"/>
      <name val="Malgun Gothic"/>
    </font>
    <font>
      <b/>
      <sz val="10.0"/>
      <color rgb="FFFFFFFF"/>
      <name val="Noto Sans"/>
    </font>
    <font>
      <b/>
      <sz val="9.0"/>
      <color rgb="FFFFFFFF"/>
      <name val="Arial"/>
    </font>
    <font>
      <b/>
      <sz val="9.0"/>
      <color rgb="FFFFFFFF"/>
      <name val="Malgun Gothic"/>
    </font>
    <font>
      <b/>
      <sz val="10.0"/>
      <color rgb="FF5B7BB5"/>
      <name val="Malgun Gothic"/>
    </font>
    <font>
      <b/>
      <sz val="9.0"/>
      <color rgb="FF5B7BB5"/>
      <name val="Malgun Gothic"/>
    </font>
    <font>
      <sz val="10.0"/>
      <color rgb="FF1A1A1A"/>
      <name val="Noto Sans"/>
    </font>
    <font>
      <sz val="10.0"/>
      <color rgb="FF1A1A1A"/>
      <name val="Malgun Gothic"/>
    </font>
    <font>
      <b/>
      <sz val="10.0"/>
      <color rgb="FF1E7A45"/>
      <name val="Malgun Gothic"/>
    </font>
    <font>
      <b/>
      <sz val="10.0"/>
      <color rgb="FF3E8E7E"/>
      <name val="Malgun Gothic"/>
    </font>
    <font>
      <b/>
      <sz val="9.0"/>
      <color rgb="FF3E8E7E"/>
      <name val="Malgun Gothic"/>
    </font>
    <font>
      <b/>
      <sz val="10.0"/>
      <color rgb="FFC7752A"/>
      <name val="Malgun Gothic"/>
    </font>
    <font>
      <b/>
      <sz val="9.0"/>
      <color rgb="FFC7752A"/>
      <name val="Malgun Gothic"/>
    </font>
    <font>
      <b/>
      <sz val="10.0"/>
      <color rgb="FF7A5BA6"/>
      <name val="Malgun Gothic"/>
    </font>
    <font>
      <b/>
      <sz val="9.0"/>
      <color rgb="FF7A5BA6"/>
      <name val="Malgun Gothic"/>
    </font>
    <font>
      <b/>
      <sz val="10.0"/>
      <color rgb="FF1B2A4A"/>
      <name val="Malgun Gothic"/>
    </font>
    <font>
      <b/>
      <sz val="9.0"/>
      <color rgb="FF1B2A4A"/>
      <name val="Malgun Gothic"/>
    </font>
    <font>
      <b/>
      <sz val="10.0"/>
      <color rgb="FFB5504E"/>
      <name val="Malgun Gothic"/>
    </font>
    <font>
      <b/>
      <sz val="9.0"/>
      <color rgb="FFB5504E"/>
      <name val="Malgun Gothic"/>
    </font>
    <font>
      <b/>
      <sz val="10.0"/>
      <color rgb="FFEB6834"/>
      <name val="Malgun Gothic"/>
    </font>
    <font>
      <b/>
      <sz val="10.0"/>
      <color rgb="FF4A7C2F"/>
      <name val="Malgun Gothic"/>
    </font>
    <font>
      <b/>
      <sz val="9.0"/>
      <color rgb="FF4A7C2F"/>
      <name val="Malgun Gothic"/>
    </font>
    <font>
      <sz val="10.0"/>
      <color rgb="FF8A93A8"/>
      <name val="Malgun Gothic"/>
    </font>
    <font>
      <b/>
      <sz val="10.0"/>
      <color rgb="FF1B2A4A"/>
      <name val="Noto Sans"/>
    </font>
    <font>
      <b/>
      <sz val="10.0"/>
      <color rgb="FF1A1A1A"/>
      <name val="Noto Sans"/>
    </font>
    <font>
      <b/>
      <sz val="10.0"/>
      <color rgb="FF1A1A1A"/>
      <name val="Malgun Gothic"/>
    </font>
    <font>
      <b/>
      <sz val="11.0"/>
      <color rgb="FFEB6834"/>
      <name val="Malgun Gothic"/>
    </font>
    <font>
      <sz val="9.0"/>
      <color rgb="FF1A1A1A"/>
      <name val="Malgun Gothic"/>
    </font>
    <font>
      <sz val="9.0"/>
      <color rgb="FF1A1A1A"/>
      <name val="Noto Sans"/>
    </font>
    <font>
      <sz val="9.0"/>
      <color rgb="FF8A93A8"/>
      <name val="Malgun Gothic"/>
    </font>
  </fonts>
  <fills count="13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5B7BB5"/>
        <bgColor rgb="FF5B7BB5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  <fill>
      <patternFill patternType="solid">
        <fgColor rgb="FF3E8E7E"/>
        <bgColor rgb="FF3E8E7E"/>
      </patternFill>
    </fill>
    <fill>
      <patternFill patternType="solid">
        <fgColor rgb="FFC7752A"/>
        <bgColor rgb="FFC7752A"/>
      </patternFill>
    </fill>
    <fill>
      <patternFill patternType="solid">
        <fgColor rgb="FF7A5BA6"/>
        <bgColor rgb="FF7A5BA6"/>
      </patternFill>
    </fill>
    <fill>
      <patternFill patternType="solid">
        <fgColor rgb="FFB5504E"/>
        <bgColor rgb="FFB5504E"/>
      </patternFill>
    </fill>
    <fill>
      <patternFill patternType="solid">
        <fgColor rgb="FF4A7C2F"/>
        <bgColor rgb="FF4A7C2F"/>
      </patternFill>
    </fill>
    <fill>
      <patternFill patternType="solid">
        <fgColor rgb="FFEEF2F8"/>
        <bgColor rgb="FFEEF2F8"/>
      </patternFill>
    </fill>
    <fill>
      <patternFill patternType="solid">
        <fgColor rgb="FFFDF1F1"/>
        <bgColor rgb="FFFDF1F1"/>
      </patternFill>
    </fill>
  </fills>
  <borders count="2">
    <border/>
    <border>
      <left style="thin">
        <color rgb="FFD5DAE3"/>
      </left>
      <right style="thin">
        <color rgb="FFD5DAE3"/>
      </right>
      <top style="thin">
        <color rgb="FFD5DAE3"/>
      </top>
      <bottom style="thin">
        <color rgb="FFD5DAE3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0"/>
    </xf>
    <xf borderId="1" fillId="0" fontId="11" numFmtId="164" xfId="0" applyAlignment="1" applyBorder="1" applyFont="1" applyNumberFormat="1">
      <alignment horizontal="center" readingOrder="0" shrinkToFit="0" vertical="center" wrapText="0"/>
    </xf>
    <xf borderId="1" fillId="0" fontId="11" numFmtId="164" xfId="0" applyAlignment="1" applyBorder="1" applyFont="1" applyNumberFormat="1">
      <alignment horizontal="center" shrinkToFit="0" vertical="center" wrapText="0"/>
    </xf>
    <xf borderId="1" fillId="0" fontId="12" numFmtId="9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4" fontId="8" numFmtId="0" xfId="0" applyAlignment="1" applyBorder="1" applyFill="1" applyFont="1">
      <alignment horizontal="center" shrinkToFit="0" vertical="center" wrapText="0"/>
    </xf>
    <xf borderId="1" fillId="4" fontId="9" numFmtId="0" xfId="0" applyAlignment="1" applyBorder="1" applyFont="1">
      <alignment horizontal="left" shrinkToFit="0" vertical="center" wrapText="0"/>
    </xf>
    <xf borderId="1" fillId="4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0"/>
    </xf>
    <xf borderId="1" fillId="4" fontId="11" numFmtId="164" xfId="0" applyAlignment="1" applyBorder="1" applyFont="1" applyNumberFormat="1">
      <alignment horizontal="center" shrinkToFit="0" vertical="center" wrapText="0"/>
    </xf>
    <xf borderId="1" fillId="4" fontId="12" numFmtId="9" xfId="0" applyAlignment="1" applyBorder="1" applyFont="1" applyNumberFormat="1">
      <alignment horizontal="center" shrinkToFit="0" vertical="center" wrapText="0"/>
    </xf>
    <xf borderId="1" fillId="5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horizontal="left" shrinkToFit="0" vertical="center" wrapText="1"/>
    </xf>
    <xf borderId="1" fillId="4" fontId="13" numFmtId="0" xfId="0" applyAlignment="1" applyBorder="1" applyFont="1">
      <alignment horizontal="center" shrinkToFit="0" vertical="center" wrapText="0"/>
    </xf>
    <xf borderId="1" fillId="4" fontId="14" numFmtId="0" xfId="0" applyAlignment="1" applyBorder="1" applyFont="1">
      <alignment horizontal="left" shrinkToFit="0" vertical="center" wrapText="0"/>
    </xf>
    <xf borderId="1" fillId="4" fontId="11" numFmtId="0" xfId="0" applyAlignment="1" applyBorder="1" applyFont="1">
      <alignment horizontal="left" shrinkToFit="0" vertical="center" wrapText="1"/>
    </xf>
    <xf borderId="1" fillId="6" fontId="3" numFmtId="0" xfId="0" applyAlignment="1" applyBorder="1" applyFill="1" applyFont="1">
      <alignment shrinkToFit="0" vertical="bottom" wrapText="0"/>
    </xf>
    <xf borderId="1" fillId="0" fontId="13" numFmtId="0" xfId="0" applyAlignment="1" applyBorder="1" applyFont="1">
      <alignment horizontal="center" shrinkToFit="0" vertical="center" wrapText="0"/>
    </xf>
    <xf borderId="1" fillId="0" fontId="14" numFmtId="0" xfId="0" applyAlignment="1" applyBorder="1" applyFont="1">
      <alignment horizontal="left" shrinkToFit="0" vertical="center" wrapText="0"/>
    </xf>
    <xf borderId="1" fillId="0" fontId="15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left" shrinkToFit="0" vertical="center" wrapText="0"/>
    </xf>
    <xf borderId="1" fillId="7" fontId="3" numFmtId="0" xfId="0" applyAlignment="1" applyBorder="1" applyFill="1" applyFont="1">
      <alignment shrinkToFit="0" vertical="bottom" wrapText="0"/>
    </xf>
    <xf borderId="1" fillId="4" fontId="15" numFmtId="0" xfId="0" applyAlignment="1" applyBorder="1" applyFont="1">
      <alignment horizontal="center" shrinkToFit="0" vertical="center" wrapText="0"/>
    </xf>
    <xf borderId="1" fillId="4" fontId="16" numFmtId="0" xfId="0" applyAlignment="1" applyBorder="1" applyFont="1">
      <alignment horizontal="left" shrinkToFit="0" vertical="center" wrapText="0"/>
    </xf>
    <xf borderId="1" fillId="4" fontId="17" numFmtId="0" xfId="0" applyAlignment="1" applyBorder="1" applyFont="1">
      <alignment horizontal="center" shrinkToFit="0" vertical="center" wrapText="0"/>
    </xf>
    <xf borderId="1" fillId="4" fontId="18" numFmtId="0" xfId="0" applyAlignment="1" applyBorder="1" applyFont="1">
      <alignment horizontal="left" shrinkToFit="0" vertical="center" wrapText="0"/>
    </xf>
    <xf borderId="1" fillId="8" fontId="3" numFmtId="0" xfId="0" applyAlignment="1" applyBorder="1" applyFill="1" applyFont="1">
      <alignment shrinkToFit="0" vertical="bottom" wrapText="0"/>
    </xf>
    <xf borderId="1" fillId="0" fontId="17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horizontal="left" shrinkToFit="0" vertical="center" wrapText="0"/>
    </xf>
    <xf borderId="1" fillId="0" fontId="19" numFmtId="0" xfId="0" applyAlignment="1" applyBorder="1" applyFont="1">
      <alignment horizontal="center" shrinkToFit="0" vertical="center" wrapText="0"/>
    </xf>
    <xf borderId="1" fillId="0" fontId="20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shrinkToFit="0" vertical="bottom" wrapText="0"/>
    </xf>
    <xf borderId="1" fillId="4" fontId="19" numFmtId="0" xfId="0" applyAlignment="1" applyBorder="1" applyFont="1">
      <alignment horizontal="center" shrinkToFit="0" vertical="center" wrapText="0"/>
    </xf>
    <xf borderId="1" fillId="4" fontId="20" numFmtId="0" xfId="0" applyAlignment="1" applyBorder="1" applyFont="1">
      <alignment horizontal="left" shrinkToFit="0" vertical="center" wrapText="0"/>
    </xf>
    <xf borderId="1" fillId="4" fontId="21" numFmtId="0" xfId="0" applyAlignment="1" applyBorder="1" applyFont="1">
      <alignment horizontal="center" readingOrder="0" shrinkToFit="0" vertical="center" wrapText="0"/>
    </xf>
    <xf borderId="1" fillId="4" fontId="22" numFmtId="0" xfId="0" applyAlignment="1" applyBorder="1" applyFont="1">
      <alignment horizontal="left" shrinkToFit="0" vertical="center" wrapText="0"/>
    </xf>
    <xf borderId="1" fillId="9" fontId="3" numFmtId="0" xfId="0" applyAlignment="1" applyBorder="1" applyFill="1" applyFont="1">
      <alignment shrinkToFit="0" vertical="bottom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2" numFmtId="0" xfId="0" applyAlignment="1" applyBorder="1" applyFont="1">
      <alignment horizontal="left" shrinkToFit="0" vertical="center" wrapText="0"/>
    </xf>
    <xf borderId="1" fillId="0" fontId="23" numFmtId="9" xfId="0" applyAlignment="1" applyBorder="1" applyFont="1" applyNumberFormat="1">
      <alignment horizontal="center" shrinkToFit="0" vertical="center" wrapText="0"/>
    </xf>
    <xf borderId="1" fillId="0" fontId="24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horizontal="left" shrinkToFit="0" vertical="center" wrapText="0"/>
    </xf>
    <xf borderId="1" fillId="4" fontId="24" numFmtId="0" xfId="0" applyAlignment="1" applyBorder="1" applyFont="1">
      <alignment horizontal="center" shrinkToFit="0" vertical="center" wrapText="0"/>
    </xf>
    <xf borderId="1" fillId="4" fontId="25" numFmtId="0" xfId="0" applyAlignment="1" applyBorder="1" applyFont="1">
      <alignment horizontal="left" shrinkToFit="0" vertical="center" wrapText="0"/>
    </xf>
    <xf borderId="1" fillId="10" fontId="3" numFmtId="0" xfId="0" applyAlignment="1" applyBorder="1" applyFill="1" applyFont="1">
      <alignment shrinkToFit="0" vertical="bottom" wrapText="0"/>
    </xf>
    <xf borderId="1" fillId="4" fontId="23" numFmtId="9" xfId="0" applyAlignment="1" applyBorder="1" applyFont="1" applyNumberFormat="1">
      <alignment horizontal="center" shrinkToFit="0" vertical="center" wrapText="0"/>
    </xf>
    <xf borderId="1" fillId="0" fontId="26" numFmtId="9" xfId="0" applyAlignment="1" applyBorder="1" applyFont="1" applyNumberFormat="1">
      <alignment horizontal="center" readingOrder="0" shrinkToFit="0" vertical="center" wrapText="0"/>
    </xf>
    <xf borderId="1" fillId="4" fontId="26" numFmtId="9" xfId="0" applyAlignment="1" applyBorder="1" applyFont="1" applyNumberFormat="1">
      <alignment horizontal="center" shrinkToFit="0" vertical="center" wrapText="0"/>
    </xf>
    <xf borderId="1" fillId="0" fontId="26" numFmtId="9" xfId="0" applyAlignment="1" applyBorder="1" applyFont="1" applyNumberFormat="1">
      <alignment horizontal="center" shrinkToFit="0" vertical="center" wrapText="0"/>
    </xf>
    <xf borderId="1" fillId="11" fontId="3" numFmtId="0" xfId="0" applyAlignment="1" applyBorder="1" applyFill="1" applyFont="1">
      <alignment shrinkToFit="0" vertical="bottom" wrapText="0"/>
    </xf>
    <xf borderId="1" fillId="11" fontId="27" numFmtId="0" xfId="0" applyAlignment="1" applyBorder="1" applyFont="1">
      <alignment shrinkToFit="0" vertical="bottom" wrapText="0"/>
    </xf>
    <xf borderId="1" fillId="11" fontId="28" numFmtId="0" xfId="0" applyAlignment="1" applyBorder="1" applyFont="1">
      <alignment shrinkToFit="0" vertical="bottom" wrapText="0"/>
    </xf>
    <xf borderId="1" fillId="11" fontId="29" numFmtId="0" xfId="0" applyAlignment="1" applyBorder="1" applyFont="1">
      <alignment horizontal="center" shrinkToFit="0" vertical="bottom" wrapText="0"/>
    </xf>
    <xf borderId="1" fillId="11" fontId="27" numFmtId="0" xfId="0" applyAlignment="1" applyBorder="1" applyFont="1">
      <alignment horizontal="right" shrinkToFit="0" vertical="bottom" wrapText="0"/>
    </xf>
    <xf borderId="1" fillId="11" fontId="30" numFmtId="9" xfId="0" applyAlignment="1" applyBorder="1" applyFont="1" applyNumberFormat="1">
      <alignment horizontal="center" shrinkToFit="0" vertical="bottom" wrapText="0"/>
    </xf>
    <xf borderId="0" fillId="0" fontId="27" numFmtId="0" xfId="0" applyAlignment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1" fillId="12" fontId="3" numFmtId="0" xfId="0" applyAlignment="1" applyBorder="1" applyFill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3" width="40.0"/>
    <col customWidth="1" min="4" max="4" width="15.0"/>
    <col customWidth="1" min="5" max="6" width="10.0"/>
    <col customWidth="1" min="7" max="7" width="7.0"/>
    <col customWidth="1" min="8" max="8" width="30.0"/>
    <col customWidth="1" min="9" max="9" width="8.0"/>
    <col customWidth="1" min="10" max="10" width="24.0"/>
    <col customWidth="1" min="11" max="17" width="4.57"/>
    <col customWidth="1" min="18" max="25" width="8.71"/>
  </cols>
  <sheetData>
    <row r="1" ht="30.0" customHeight="1">
      <c r="A1" s="1" t="s">
        <v>0</v>
      </c>
    </row>
    <row r="2" ht="18.0" customHeight="1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33.7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</row>
    <row r="5" ht="25.5" customHeight="1">
      <c r="A5" s="8" t="s">
        <v>19</v>
      </c>
      <c r="B5" s="9" t="s">
        <v>20</v>
      </c>
      <c r="C5" s="10" t="s">
        <v>21</v>
      </c>
      <c r="D5" s="11" t="s">
        <v>22</v>
      </c>
      <c r="E5" s="12">
        <v>46230.0</v>
      </c>
      <c r="F5" s="13">
        <v>46231.0</v>
      </c>
      <c r="G5" s="11">
        <f t="shared" ref="G5:G40" si="1">F5-E5+1</f>
        <v>2</v>
      </c>
      <c r="H5" s="10" t="s">
        <v>23</v>
      </c>
      <c r="I5" s="14">
        <v>1.0</v>
      </c>
      <c r="J5" s="10"/>
      <c r="K5" s="15"/>
      <c r="L5" s="15"/>
      <c r="M5" s="16"/>
      <c r="N5" s="16"/>
      <c r="O5" s="16"/>
      <c r="P5" s="16"/>
      <c r="Q5" s="16"/>
    </row>
    <row r="6" ht="25.5" customHeight="1">
      <c r="A6" s="17" t="s">
        <v>24</v>
      </c>
      <c r="B6" s="18" t="s">
        <v>25</v>
      </c>
      <c r="C6" s="19" t="s">
        <v>26</v>
      </c>
      <c r="D6" s="20" t="s">
        <v>27</v>
      </c>
      <c r="E6" s="21">
        <v>46231.0</v>
      </c>
      <c r="F6" s="21">
        <v>46231.0</v>
      </c>
      <c r="G6" s="20">
        <f t="shared" si="1"/>
        <v>1</v>
      </c>
      <c r="H6" s="19" t="s">
        <v>28</v>
      </c>
      <c r="I6" s="22">
        <v>1.0</v>
      </c>
      <c r="J6" s="19"/>
      <c r="K6" s="23"/>
      <c r="L6" s="15"/>
      <c r="M6" s="24"/>
      <c r="N6" s="24"/>
      <c r="O6" s="24"/>
      <c r="P6" s="24"/>
      <c r="Q6" s="24"/>
    </row>
    <row r="7" ht="25.5" customHeight="1">
      <c r="A7" s="8" t="s">
        <v>29</v>
      </c>
      <c r="B7" s="9" t="s">
        <v>30</v>
      </c>
      <c r="C7" s="10" t="s">
        <v>31</v>
      </c>
      <c r="D7" s="11" t="s">
        <v>27</v>
      </c>
      <c r="E7" s="13">
        <v>46231.0</v>
      </c>
      <c r="F7" s="13">
        <v>46231.0</v>
      </c>
      <c r="G7" s="11">
        <f t="shared" si="1"/>
        <v>1</v>
      </c>
      <c r="H7" s="25" t="s">
        <v>32</v>
      </c>
      <c r="I7" s="14">
        <v>1.0</v>
      </c>
      <c r="J7" s="10"/>
      <c r="K7" s="23"/>
      <c r="L7" s="15"/>
      <c r="M7" s="16"/>
      <c r="N7" s="16"/>
      <c r="O7" s="16"/>
      <c r="P7" s="16"/>
      <c r="Q7" s="16"/>
    </row>
    <row r="8" ht="25.5" customHeight="1">
      <c r="A8" s="26" t="s">
        <v>33</v>
      </c>
      <c r="B8" s="27" t="s">
        <v>34</v>
      </c>
      <c r="C8" s="19" t="s">
        <v>35</v>
      </c>
      <c r="D8" s="20" t="s">
        <v>27</v>
      </c>
      <c r="E8" s="21">
        <v>46232.0</v>
      </c>
      <c r="F8" s="21">
        <v>46232.0</v>
      </c>
      <c r="G8" s="20">
        <f t="shared" si="1"/>
        <v>1</v>
      </c>
      <c r="H8" s="28" t="s">
        <v>36</v>
      </c>
      <c r="I8" s="22">
        <v>1.0</v>
      </c>
      <c r="J8" s="19" t="s">
        <v>37</v>
      </c>
      <c r="K8" s="24"/>
      <c r="L8" s="24"/>
      <c r="M8" s="29"/>
      <c r="N8" s="24"/>
      <c r="O8" s="24"/>
      <c r="P8" s="24"/>
      <c r="Q8" s="24"/>
    </row>
    <row r="9" ht="25.5" customHeight="1">
      <c r="A9" s="30" t="s">
        <v>38</v>
      </c>
      <c r="B9" s="31" t="s">
        <v>39</v>
      </c>
      <c r="C9" s="10" t="s">
        <v>40</v>
      </c>
      <c r="D9" s="11" t="s">
        <v>27</v>
      </c>
      <c r="E9" s="13">
        <v>46232.0</v>
      </c>
      <c r="F9" s="13">
        <v>46232.0</v>
      </c>
      <c r="G9" s="11">
        <f t="shared" si="1"/>
        <v>1</v>
      </c>
      <c r="H9" s="25" t="s">
        <v>41</v>
      </c>
      <c r="I9" s="14">
        <v>1.0</v>
      </c>
      <c r="J9" s="10"/>
      <c r="K9" s="16"/>
      <c r="L9" s="16"/>
      <c r="M9" s="29"/>
      <c r="N9" s="16"/>
      <c r="O9" s="16"/>
      <c r="P9" s="16"/>
      <c r="Q9" s="16"/>
    </row>
    <row r="10" ht="25.5" customHeight="1">
      <c r="A10" s="26" t="s">
        <v>42</v>
      </c>
      <c r="B10" s="27" t="s">
        <v>43</v>
      </c>
      <c r="C10" s="19" t="s">
        <v>44</v>
      </c>
      <c r="D10" s="20" t="s">
        <v>27</v>
      </c>
      <c r="E10" s="21">
        <v>46232.0</v>
      </c>
      <c r="F10" s="21">
        <v>46232.0</v>
      </c>
      <c r="G10" s="20">
        <f t="shared" si="1"/>
        <v>1</v>
      </c>
      <c r="H10" s="28" t="s">
        <v>45</v>
      </c>
      <c r="I10" s="22">
        <v>1.0</v>
      </c>
      <c r="J10" s="28" t="s">
        <v>46</v>
      </c>
      <c r="K10" s="24"/>
      <c r="L10" s="24"/>
      <c r="M10" s="29"/>
      <c r="N10" s="24"/>
      <c r="O10" s="24"/>
      <c r="P10" s="24"/>
      <c r="Q10" s="24"/>
    </row>
    <row r="11" ht="25.5" customHeight="1">
      <c r="A11" s="30" t="s">
        <v>47</v>
      </c>
      <c r="B11" s="31" t="s">
        <v>48</v>
      </c>
      <c r="C11" s="10" t="s">
        <v>49</v>
      </c>
      <c r="D11" s="11" t="s">
        <v>27</v>
      </c>
      <c r="E11" s="13">
        <v>46232.0</v>
      </c>
      <c r="F11" s="13">
        <v>46232.0</v>
      </c>
      <c r="G11" s="11">
        <f t="shared" si="1"/>
        <v>1</v>
      </c>
      <c r="H11" s="10" t="s">
        <v>50</v>
      </c>
      <c r="I11" s="14">
        <v>1.0</v>
      </c>
      <c r="J11" s="10" t="s">
        <v>51</v>
      </c>
      <c r="K11" s="16"/>
      <c r="L11" s="16"/>
      <c r="M11" s="29"/>
      <c r="N11" s="16"/>
      <c r="O11" s="16"/>
      <c r="P11" s="16"/>
      <c r="Q11" s="16"/>
    </row>
    <row r="12" ht="25.5" customHeight="1">
      <c r="A12" s="26" t="s">
        <v>52</v>
      </c>
      <c r="B12" s="27" t="s">
        <v>53</v>
      </c>
      <c r="C12" s="19" t="s">
        <v>54</v>
      </c>
      <c r="D12" s="20" t="s">
        <v>27</v>
      </c>
      <c r="E12" s="21">
        <v>46232.0</v>
      </c>
      <c r="F12" s="21">
        <v>46232.0</v>
      </c>
      <c r="G12" s="20">
        <f t="shared" si="1"/>
        <v>1</v>
      </c>
      <c r="H12" s="19" t="s">
        <v>55</v>
      </c>
      <c r="I12" s="22">
        <v>1.0</v>
      </c>
      <c r="J12" s="19" t="s">
        <v>56</v>
      </c>
      <c r="K12" s="24"/>
      <c r="L12" s="24"/>
      <c r="M12" s="29"/>
      <c r="N12" s="24"/>
      <c r="O12" s="24"/>
      <c r="P12" s="24"/>
      <c r="Q12" s="24"/>
    </row>
    <row r="13" ht="25.5" customHeight="1">
      <c r="A13" s="32" t="s">
        <v>57</v>
      </c>
      <c r="B13" s="33" t="s">
        <v>58</v>
      </c>
      <c r="C13" s="25" t="s">
        <v>59</v>
      </c>
      <c r="D13" s="11" t="s">
        <v>27</v>
      </c>
      <c r="E13" s="13">
        <v>46233.0</v>
      </c>
      <c r="F13" s="13">
        <v>46233.0</v>
      </c>
      <c r="G13" s="11">
        <f t="shared" si="1"/>
        <v>1</v>
      </c>
      <c r="H13" s="10" t="s">
        <v>60</v>
      </c>
      <c r="I13" s="14">
        <v>1.0</v>
      </c>
      <c r="J13" s="10"/>
      <c r="K13" s="16"/>
      <c r="L13" s="16"/>
      <c r="M13" s="16"/>
      <c r="N13" s="34"/>
      <c r="O13" s="16"/>
      <c r="P13" s="16"/>
      <c r="Q13" s="16"/>
    </row>
    <row r="14" ht="25.5" customHeight="1">
      <c r="A14" s="35" t="s">
        <v>61</v>
      </c>
      <c r="B14" s="36" t="s">
        <v>62</v>
      </c>
      <c r="C14" s="28" t="s">
        <v>63</v>
      </c>
      <c r="D14" s="20" t="s">
        <v>27</v>
      </c>
      <c r="E14" s="21">
        <v>46233.0</v>
      </c>
      <c r="F14" s="21">
        <v>46233.0</v>
      </c>
      <c r="G14" s="20">
        <f t="shared" si="1"/>
        <v>1</v>
      </c>
      <c r="H14" s="28" t="s">
        <v>64</v>
      </c>
      <c r="I14" s="22">
        <v>1.0</v>
      </c>
      <c r="J14" s="19"/>
      <c r="K14" s="24"/>
      <c r="L14" s="24"/>
      <c r="M14" s="24"/>
      <c r="N14" s="34"/>
      <c r="O14" s="24"/>
      <c r="P14" s="24"/>
      <c r="Q14" s="24"/>
    </row>
    <row r="15" ht="25.5" customHeight="1">
      <c r="A15" s="32" t="s">
        <v>65</v>
      </c>
      <c r="B15" s="33" t="s">
        <v>66</v>
      </c>
      <c r="C15" s="25" t="s">
        <v>67</v>
      </c>
      <c r="D15" s="11" t="s">
        <v>27</v>
      </c>
      <c r="E15" s="13">
        <v>46233.0</v>
      </c>
      <c r="F15" s="13">
        <v>46233.0</v>
      </c>
      <c r="G15" s="11">
        <f t="shared" si="1"/>
        <v>1</v>
      </c>
      <c r="H15" s="10" t="s">
        <v>68</v>
      </c>
      <c r="I15" s="14">
        <v>1.0</v>
      </c>
      <c r="J15" s="10"/>
      <c r="K15" s="16"/>
      <c r="L15" s="16"/>
      <c r="M15" s="16"/>
      <c r="N15" s="34"/>
      <c r="O15" s="16"/>
      <c r="P15" s="16"/>
      <c r="Q15" s="16"/>
    </row>
    <row r="16" ht="25.5" customHeight="1">
      <c r="A16" s="35" t="s">
        <v>69</v>
      </c>
      <c r="B16" s="36" t="s">
        <v>70</v>
      </c>
      <c r="C16" s="28" t="s">
        <v>71</v>
      </c>
      <c r="D16" s="20" t="s">
        <v>27</v>
      </c>
      <c r="E16" s="21">
        <v>46233.0</v>
      </c>
      <c r="F16" s="21">
        <v>46233.0</v>
      </c>
      <c r="G16" s="20">
        <f t="shared" si="1"/>
        <v>1</v>
      </c>
      <c r="H16" s="19" t="s">
        <v>72</v>
      </c>
      <c r="I16" s="22">
        <v>1.0</v>
      </c>
      <c r="J16" s="19"/>
      <c r="K16" s="24"/>
      <c r="L16" s="24"/>
      <c r="M16" s="24"/>
      <c r="N16" s="34"/>
      <c r="O16" s="24"/>
      <c r="P16" s="24"/>
      <c r="Q16" s="24"/>
    </row>
    <row r="17" ht="25.5" customHeight="1">
      <c r="A17" s="32" t="s">
        <v>73</v>
      </c>
      <c r="B17" s="33" t="s">
        <v>74</v>
      </c>
      <c r="C17" s="25" t="s">
        <v>75</v>
      </c>
      <c r="D17" s="11" t="s">
        <v>27</v>
      </c>
      <c r="E17" s="13">
        <v>46233.0</v>
      </c>
      <c r="F17" s="13">
        <v>46233.0</v>
      </c>
      <c r="G17" s="11">
        <f t="shared" si="1"/>
        <v>1</v>
      </c>
      <c r="H17" s="10" t="s">
        <v>76</v>
      </c>
      <c r="I17" s="14">
        <v>1.0</v>
      </c>
      <c r="J17" s="10" t="s">
        <v>77</v>
      </c>
      <c r="K17" s="16"/>
      <c r="L17" s="16"/>
      <c r="M17" s="16"/>
      <c r="N17" s="34"/>
      <c r="O17" s="16"/>
      <c r="P17" s="16"/>
      <c r="Q17" s="16"/>
    </row>
    <row r="18" ht="25.5" customHeight="1">
      <c r="A18" s="35" t="s">
        <v>78</v>
      </c>
      <c r="B18" s="36" t="s">
        <v>79</v>
      </c>
      <c r="C18" s="19" t="s">
        <v>80</v>
      </c>
      <c r="D18" s="20" t="s">
        <v>27</v>
      </c>
      <c r="E18" s="21">
        <v>46233.0</v>
      </c>
      <c r="F18" s="21">
        <v>46233.0</v>
      </c>
      <c r="G18" s="20">
        <f t="shared" si="1"/>
        <v>1</v>
      </c>
      <c r="H18" s="28" t="s">
        <v>81</v>
      </c>
      <c r="I18" s="22">
        <v>1.0</v>
      </c>
      <c r="J18" s="19"/>
      <c r="K18" s="24"/>
      <c r="L18" s="24"/>
      <c r="M18" s="24"/>
      <c r="N18" s="34"/>
      <c r="O18" s="24"/>
      <c r="P18" s="24"/>
      <c r="Q18" s="24"/>
    </row>
    <row r="19" ht="25.5" customHeight="1">
      <c r="A19" s="32" t="s">
        <v>82</v>
      </c>
      <c r="B19" s="33" t="s">
        <v>83</v>
      </c>
      <c r="C19" s="10" t="s">
        <v>84</v>
      </c>
      <c r="D19" s="11" t="s">
        <v>27</v>
      </c>
      <c r="E19" s="13">
        <v>46233.0</v>
      </c>
      <c r="F19" s="13">
        <v>46233.0</v>
      </c>
      <c r="G19" s="11">
        <f t="shared" si="1"/>
        <v>1</v>
      </c>
      <c r="H19" s="10" t="s">
        <v>85</v>
      </c>
      <c r="I19" s="14">
        <v>1.0</v>
      </c>
      <c r="J19" s="10" t="s">
        <v>86</v>
      </c>
      <c r="K19" s="16"/>
      <c r="L19" s="16"/>
      <c r="M19" s="16"/>
      <c r="N19" s="34"/>
      <c r="O19" s="16"/>
      <c r="P19" s="16"/>
      <c r="Q19" s="16"/>
    </row>
    <row r="20" ht="25.5" customHeight="1">
      <c r="A20" s="37" t="s">
        <v>87</v>
      </c>
      <c r="B20" s="38" t="s">
        <v>88</v>
      </c>
      <c r="C20" s="28" t="s">
        <v>89</v>
      </c>
      <c r="D20" s="20" t="s">
        <v>90</v>
      </c>
      <c r="E20" s="21">
        <v>46232.0</v>
      </c>
      <c r="F20" s="21">
        <v>46232.0</v>
      </c>
      <c r="G20" s="20">
        <f t="shared" si="1"/>
        <v>1</v>
      </c>
      <c r="H20" s="28" t="s">
        <v>91</v>
      </c>
      <c r="I20" s="22">
        <v>1.0</v>
      </c>
      <c r="J20" s="28" t="s">
        <v>92</v>
      </c>
      <c r="K20" s="24"/>
      <c r="L20" s="24"/>
      <c r="M20" s="39"/>
      <c r="N20" s="24"/>
      <c r="O20" s="24"/>
      <c r="P20" s="24"/>
      <c r="Q20" s="24"/>
    </row>
    <row r="21" ht="25.5" customHeight="1">
      <c r="A21" s="40" t="s">
        <v>93</v>
      </c>
      <c r="B21" s="41" t="s">
        <v>94</v>
      </c>
      <c r="C21" s="25" t="s">
        <v>95</v>
      </c>
      <c r="D21" s="11" t="s">
        <v>90</v>
      </c>
      <c r="E21" s="13">
        <v>46233.0</v>
      </c>
      <c r="F21" s="13">
        <v>46233.0</v>
      </c>
      <c r="G21" s="11">
        <f t="shared" si="1"/>
        <v>1</v>
      </c>
      <c r="H21" s="25" t="s">
        <v>96</v>
      </c>
      <c r="I21" s="14">
        <v>1.0</v>
      </c>
      <c r="J21" s="10"/>
      <c r="K21" s="16"/>
      <c r="L21" s="16"/>
      <c r="M21" s="16"/>
      <c r="N21" s="39"/>
      <c r="O21" s="16"/>
      <c r="P21" s="16"/>
      <c r="Q21" s="16"/>
    </row>
    <row r="22" ht="25.5" customHeight="1">
      <c r="A22" s="37" t="s">
        <v>97</v>
      </c>
      <c r="B22" s="38" t="s">
        <v>98</v>
      </c>
      <c r="C22" s="28" t="s">
        <v>99</v>
      </c>
      <c r="D22" s="20" t="s">
        <v>90</v>
      </c>
      <c r="E22" s="21">
        <v>46233.0</v>
      </c>
      <c r="F22" s="21">
        <v>46234.0</v>
      </c>
      <c r="G22" s="20">
        <f t="shared" si="1"/>
        <v>2</v>
      </c>
      <c r="H22" s="28" t="s">
        <v>100</v>
      </c>
      <c r="I22" s="22">
        <v>1.0</v>
      </c>
      <c r="J22" s="19" t="s">
        <v>101</v>
      </c>
      <c r="K22" s="24"/>
      <c r="L22" s="24"/>
      <c r="M22" s="24"/>
      <c r="N22" s="39"/>
      <c r="O22" s="39"/>
      <c r="P22" s="24"/>
      <c r="Q22" s="24"/>
    </row>
    <row r="23" ht="25.5" customHeight="1">
      <c r="A23" s="40" t="s">
        <v>102</v>
      </c>
      <c r="B23" s="41" t="s">
        <v>103</v>
      </c>
      <c r="C23" s="10" t="s">
        <v>104</v>
      </c>
      <c r="D23" s="11" t="s">
        <v>90</v>
      </c>
      <c r="E23" s="13">
        <v>46234.0</v>
      </c>
      <c r="F23" s="13">
        <v>46234.0</v>
      </c>
      <c r="G23" s="11">
        <f t="shared" si="1"/>
        <v>1</v>
      </c>
      <c r="H23" s="25" t="s">
        <v>105</v>
      </c>
      <c r="I23" s="14">
        <v>1.0</v>
      </c>
      <c r="J23" s="10" t="s">
        <v>106</v>
      </c>
      <c r="K23" s="16"/>
      <c r="L23" s="16"/>
      <c r="M23" s="16"/>
      <c r="N23" s="16"/>
      <c r="O23" s="39"/>
      <c r="P23" s="16"/>
      <c r="Q23" s="16"/>
    </row>
    <row r="24" ht="25.5" customHeight="1">
      <c r="A24" s="37" t="s">
        <v>107</v>
      </c>
      <c r="B24" s="38" t="s">
        <v>108</v>
      </c>
      <c r="C24" s="19" t="s">
        <v>109</v>
      </c>
      <c r="D24" s="20" t="s">
        <v>90</v>
      </c>
      <c r="E24" s="21">
        <v>46234.0</v>
      </c>
      <c r="F24" s="21">
        <v>46235.0</v>
      </c>
      <c r="G24" s="20">
        <f t="shared" si="1"/>
        <v>2</v>
      </c>
      <c r="H24" s="28" t="s">
        <v>110</v>
      </c>
      <c r="I24" s="22">
        <v>1.0</v>
      </c>
      <c r="J24" s="19"/>
      <c r="K24" s="24"/>
      <c r="L24" s="24"/>
      <c r="M24" s="24"/>
      <c r="N24" s="24"/>
      <c r="O24" s="39"/>
      <c r="P24" s="24"/>
      <c r="Q24" s="24"/>
    </row>
    <row r="25" ht="25.5" customHeight="1">
      <c r="A25" s="42" t="s">
        <v>111</v>
      </c>
      <c r="B25" s="43" t="s">
        <v>112</v>
      </c>
      <c r="C25" s="25" t="s">
        <v>113</v>
      </c>
      <c r="D25" s="11" t="s">
        <v>27</v>
      </c>
      <c r="E25" s="13">
        <v>46234.0</v>
      </c>
      <c r="F25" s="13">
        <v>46234.0</v>
      </c>
      <c r="G25" s="11">
        <f t="shared" si="1"/>
        <v>1</v>
      </c>
      <c r="H25" s="25" t="s">
        <v>114</v>
      </c>
      <c r="I25" s="14">
        <v>1.0</v>
      </c>
      <c r="J25" s="25" t="s">
        <v>115</v>
      </c>
      <c r="K25" s="16"/>
      <c r="L25" s="16"/>
      <c r="M25" s="16"/>
      <c r="N25" s="16"/>
      <c r="O25" s="44"/>
      <c r="P25" s="16"/>
      <c r="Q25" s="16"/>
    </row>
    <row r="26" ht="25.5" customHeight="1">
      <c r="A26" s="45" t="s">
        <v>116</v>
      </c>
      <c r="B26" s="46" t="s">
        <v>117</v>
      </c>
      <c r="C26" s="19" t="s">
        <v>118</v>
      </c>
      <c r="D26" s="20" t="s">
        <v>27</v>
      </c>
      <c r="E26" s="21">
        <v>46234.0</v>
      </c>
      <c r="F26" s="21">
        <v>46234.0</v>
      </c>
      <c r="G26" s="20">
        <f t="shared" si="1"/>
        <v>1</v>
      </c>
      <c r="H26" s="19" t="s">
        <v>119</v>
      </c>
      <c r="I26" s="22">
        <v>1.0</v>
      </c>
      <c r="J26" s="19" t="s">
        <v>120</v>
      </c>
      <c r="K26" s="24"/>
      <c r="L26" s="24"/>
      <c r="M26" s="24"/>
      <c r="N26" s="24"/>
      <c r="O26" s="44"/>
      <c r="P26" s="24"/>
      <c r="Q26" s="24"/>
    </row>
    <row r="27" ht="25.5" customHeight="1">
      <c r="A27" s="42" t="s">
        <v>121</v>
      </c>
      <c r="B27" s="43" t="s">
        <v>122</v>
      </c>
      <c r="C27" s="10" t="s">
        <v>123</v>
      </c>
      <c r="D27" s="11" t="s">
        <v>27</v>
      </c>
      <c r="E27" s="13">
        <v>46234.0</v>
      </c>
      <c r="F27" s="13">
        <v>46234.0</v>
      </c>
      <c r="G27" s="11">
        <f t="shared" si="1"/>
        <v>1</v>
      </c>
      <c r="H27" s="25" t="s">
        <v>124</v>
      </c>
      <c r="I27" s="14">
        <v>1.0</v>
      </c>
      <c r="J27" s="10" t="s">
        <v>125</v>
      </c>
      <c r="K27" s="16"/>
      <c r="L27" s="16"/>
      <c r="M27" s="16"/>
      <c r="N27" s="16"/>
      <c r="O27" s="44"/>
      <c r="P27" s="16"/>
      <c r="Q27" s="16"/>
    </row>
    <row r="28" ht="25.5" customHeight="1">
      <c r="A28" s="45" t="s">
        <v>126</v>
      </c>
      <c r="B28" s="46" t="s">
        <v>127</v>
      </c>
      <c r="C28" s="19" t="s">
        <v>128</v>
      </c>
      <c r="D28" s="20" t="s">
        <v>27</v>
      </c>
      <c r="E28" s="21">
        <v>46234.0</v>
      </c>
      <c r="F28" s="21">
        <v>46234.0</v>
      </c>
      <c r="G28" s="20">
        <f t="shared" si="1"/>
        <v>1</v>
      </c>
      <c r="H28" s="19" t="s">
        <v>129</v>
      </c>
      <c r="I28" s="22">
        <v>1.0</v>
      </c>
      <c r="J28" s="28" t="s">
        <v>130</v>
      </c>
      <c r="K28" s="24"/>
      <c r="L28" s="24"/>
      <c r="M28" s="24"/>
      <c r="N28" s="24"/>
      <c r="O28" s="44"/>
      <c r="P28" s="24"/>
      <c r="Q28" s="24"/>
    </row>
    <row r="29" ht="25.5" customHeight="1">
      <c r="A29" s="42" t="s">
        <v>131</v>
      </c>
      <c r="B29" s="43" t="s">
        <v>132</v>
      </c>
      <c r="C29" s="10" t="s">
        <v>133</v>
      </c>
      <c r="D29" s="11" t="s">
        <v>27</v>
      </c>
      <c r="E29" s="13">
        <v>46234.0</v>
      </c>
      <c r="F29" s="13">
        <v>46234.0</v>
      </c>
      <c r="G29" s="11">
        <f t="shared" si="1"/>
        <v>1</v>
      </c>
      <c r="H29" s="25" t="s">
        <v>134</v>
      </c>
      <c r="I29" s="14">
        <v>1.0</v>
      </c>
      <c r="J29" s="25" t="s">
        <v>135</v>
      </c>
      <c r="K29" s="16"/>
      <c r="L29" s="16"/>
      <c r="M29" s="16"/>
      <c r="N29" s="16"/>
      <c r="O29" s="44"/>
      <c r="P29" s="16"/>
      <c r="Q29" s="16"/>
    </row>
    <row r="30" ht="25.5" customHeight="1">
      <c r="A30" s="45" t="s">
        <v>136</v>
      </c>
      <c r="B30" s="46" t="s">
        <v>137</v>
      </c>
      <c r="C30" s="19" t="s">
        <v>138</v>
      </c>
      <c r="D30" s="20" t="s">
        <v>27</v>
      </c>
      <c r="E30" s="21">
        <v>46234.0</v>
      </c>
      <c r="F30" s="21">
        <v>46234.0</v>
      </c>
      <c r="G30" s="20">
        <f t="shared" si="1"/>
        <v>1</v>
      </c>
      <c r="H30" s="19" t="s">
        <v>139</v>
      </c>
      <c r="I30" s="22">
        <v>1.0</v>
      </c>
      <c r="J30" s="28" t="s">
        <v>140</v>
      </c>
      <c r="K30" s="24"/>
      <c r="L30" s="24"/>
      <c r="M30" s="24"/>
      <c r="N30" s="24"/>
      <c r="O30" s="44"/>
      <c r="P30" s="24"/>
      <c r="Q30" s="24"/>
    </row>
    <row r="31" ht="25.5" customHeight="1">
      <c r="A31" s="47">
        <v>6.1</v>
      </c>
      <c r="B31" s="48" t="s">
        <v>141</v>
      </c>
      <c r="C31" s="19" t="s">
        <v>142</v>
      </c>
      <c r="D31" s="20" t="s">
        <v>27</v>
      </c>
      <c r="E31" s="21">
        <v>46237.0</v>
      </c>
      <c r="F31" s="21">
        <v>46237.0</v>
      </c>
      <c r="G31" s="20">
        <f t="shared" si="1"/>
        <v>1</v>
      </c>
      <c r="H31" s="28" t="s">
        <v>143</v>
      </c>
      <c r="I31" s="22">
        <v>1.0</v>
      </c>
      <c r="J31" s="28" t="s">
        <v>144</v>
      </c>
      <c r="K31" s="24"/>
      <c r="L31" s="24"/>
      <c r="M31" s="24"/>
      <c r="N31" s="24"/>
      <c r="O31" s="24"/>
      <c r="P31" s="49"/>
      <c r="Q31" s="24"/>
    </row>
    <row r="32" ht="25.5" customHeight="1">
      <c r="A32" s="50">
        <v>6.2</v>
      </c>
      <c r="B32" s="51" t="s">
        <v>145</v>
      </c>
      <c r="C32" s="25" t="s">
        <v>146</v>
      </c>
      <c r="D32" s="11" t="s">
        <v>27</v>
      </c>
      <c r="E32" s="13">
        <v>46237.0</v>
      </c>
      <c r="F32" s="13">
        <v>46237.0</v>
      </c>
      <c r="G32" s="11">
        <f t="shared" si="1"/>
        <v>1</v>
      </c>
      <c r="H32" s="25" t="s">
        <v>147</v>
      </c>
      <c r="I32" s="52">
        <v>0.8</v>
      </c>
      <c r="J32" s="25" t="s">
        <v>148</v>
      </c>
      <c r="K32" s="16"/>
      <c r="L32" s="16"/>
      <c r="M32" s="16"/>
      <c r="N32" s="16"/>
      <c r="O32" s="16"/>
      <c r="P32" s="49"/>
      <c r="Q32" s="16"/>
    </row>
    <row r="33" ht="25.5" customHeight="1">
      <c r="A33" s="47">
        <v>6.3</v>
      </c>
      <c r="B33" s="48" t="s">
        <v>149</v>
      </c>
      <c r="C33" s="19" t="s">
        <v>150</v>
      </c>
      <c r="D33" s="20" t="s">
        <v>27</v>
      </c>
      <c r="E33" s="21">
        <v>46237.0</v>
      </c>
      <c r="F33" s="21">
        <v>46237.0</v>
      </c>
      <c r="G33" s="20">
        <f t="shared" si="1"/>
        <v>1</v>
      </c>
      <c r="H33" s="28" t="s">
        <v>151</v>
      </c>
      <c r="I33" s="22">
        <v>1.0</v>
      </c>
      <c r="J33" s="19" t="s">
        <v>152</v>
      </c>
      <c r="K33" s="24"/>
      <c r="L33" s="24"/>
      <c r="M33" s="24"/>
      <c r="N33" s="24"/>
      <c r="O33" s="24"/>
      <c r="P33" s="49"/>
      <c r="Q33" s="24"/>
    </row>
    <row r="34" ht="25.5" customHeight="1">
      <c r="A34" s="53" t="s">
        <v>153</v>
      </c>
      <c r="B34" s="54" t="s">
        <v>154</v>
      </c>
      <c r="C34" s="10" t="s">
        <v>155</v>
      </c>
      <c r="D34" s="11" t="s">
        <v>90</v>
      </c>
      <c r="E34" s="13">
        <v>46235.0</v>
      </c>
      <c r="F34" s="13">
        <v>46236.0</v>
      </c>
      <c r="G34" s="11">
        <f t="shared" si="1"/>
        <v>2</v>
      </c>
      <c r="H34" s="10" t="s">
        <v>129</v>
      </c>
      <c r="I34" s="14">
        <v>1.0</v>
      </c>
      <c r="J34" s="10"/>
      <c r="K34" s="16"/>
      <c r="L34" s="16"/>
      <c r="M34" s="16"/>
      <c r="N34" s="16"/>
      <c r="O34" s="16"/>
      <c r="P34" s="16"/>
      <c r="Q34" s="16"/>
    </row>
    <row r="35" ht="25.5" customHeight="1">
      <c r="A35" s="55" t="s">
        <v>156</v>
      </c>
      <c r="B35" s="56" t="s">
        <v>157</v>
      </c>
      <c r="C35" s="28" t="s">
        <v>158</v>
      </c>
      <c r="D35" s="20" t="s">
        <v>90</v>
      </c>
      <c r="E35" s="21">
        <v>46237.0</v>
      </c>
      <c r="F35" s="21">
        <v>46237.0</v>
      </c>
      <c r="G35" s="20">
        <f t="shared" si="1"/>
        <v>1</v>
      </c>
      <c r="H35" s="28" t="s">
        <v>159</v>
      </c>
      <c r="I35" s="22">
        <v>1.0</v>
      </c>
      <c r="J35" s="19"/>
      <c r="K35" s="24"/>
      <c r="L35" s="24"/>
      <c r="M35" s="24"/>
      <c r="N35" s="24"/>
      <c r="O35" s="24"/>
      <c r="P35" s="57"/>
      <c r="Q35" s="24"/>
    </row>
    <row r="36" ht="25.5" customHeight="1">
      <c r="A36" s="53" t="s">
        <v>160</v>
      </c>
      <c r="B36" s="54" t="s">
        <v>161</v>
      </c>
      <c r="C36" s="10" t="s">
        <v>162</v>
      </c>
      <c r="D36" s="11" t="s">
        <v>27</v>
      </c>
      <c r="E36" s="13">
        <v>46237.0</v>
      </c>
      <c r="F36" s="13">
        <v>46237.0</v>
      </c>
      <c r="G36" s="11">
        <f t="shared" si="1"/>
        <v>1</v>
      </c>
      <c r="H36" s="10" t="s">
        <v>163</v>
      </c>
      <c r="I36" s="14">
        <v>1.0</v>
      </c>
      <c r="J36" s="10"/>
      <c r="K36" s="16"/>
      <c r="L36" s="16"/>
      <c r="M36" s="16"/>
      <c r="N36" s="16"/>
      <c r="O36" s="16"/>
      <c r="P36" s="57"/>
      <c r="Q36" s="16"/>
    </row>
    <row r="37" ht="25.5" customHeight="1">
      <c r="A37" s="55" t="s">
        <v>164</v>
      </c>
      <c r="B37" s="56" t="s">
        <v>165</v>
      </c>
      <c r="C37" s="19" t="s">
        <v>166</v>
      </c>
      <c r="D37" s="20" t="s">
        <v>22</v>
      </c>
      <c r="E37" s="21">
        <v>46237.0</v>
      </c>
      <c r="F37" s="21">
        <v>46237.0</v>
      </c>
      <c r="G37" s="20">
        <f t="shared" si="1"/>
        <v>1</v>
      </c>
      <c r="H37" s="19" t="s">
        <v>167</v>
      </c>
      <c r="I37" s="58">
        <v>0.9</v>
      </c>
      <c r="J37" s="19"/>
      <c r="K37" s="24"/>
      <c r="L37" s="24"/>
      <c r="M37" s="24"/>
      <c r="N37" s="24"/>
      <c r="O37" s="24"/>
      <c r="P37" s="57"/>
      <c r="Q37" s="24"/>
    </row>
    <row r="38" ht="25.5" customHeight="1">
      <c r="A38" s="53" t="s">
        <v>168</v>
      </c>
      <c r="B38" s="54" t="s">
        <v>169</v>
      </c>
      <c r="C38" s="10" t="s">
        <v>170</v>
      </c>
      <c r="D38" s="11" t="s">
        <v>90</v>
      </c>
      <c r="E38" s="13">
        <v>46237.0</v>
      </c>
      <c r="F38" s="13">
        <v>46237.0</v>
      </c>
      <c r="G38" s="11">
        <f t="shared" si="1"/>
        <v>1</v>
      </c>
      <c r="H38" s="10" t="s">
        <v>171</v>
      </c>
      <c r="I38" s="59">
        <v>1.0</v>
      </c>
      <c r="J38" s="10" t="s">
        <v>172</v>
      </c>
      <c r="K38" s="16"/>
      <c r="L38" s="16"/>
      <c r="M38" s="16"/>
      <c r="N38" s="16"/>
      <c r="O38" s="16"/>
      <c r="P38" s="57"/>
      <c r="Q38" s="16"/>
    </row>
    <row r="39" ht="25.5" customHeight="1">
      <c r="A39" s="55" t="s">
        <v>173</v>
      </c>
      <c r="B39" s="56" t="s">
        <v>174</v>
      </c>
      <c r="C39" s="19" t="s">
        <v>175</v>
      </c>
      <c r="D39" s="20" t="s">
        <v>22</v>
      </c>
      <c r="E39" s="21">
        <v>46237.0</v>
      </c>
      <c r="F39" s="21">
        <v>46237.0</v>
      </c>
      <c r="G39" s="20">
        <f t="shared" si="1"/>
        <v>1</v>
      </c>
      <c r="H39" s="19" t="s">
        <v>176</v>
      </c>
      <c r="I39" s="60">
        <v>0.0</v>
      </c>
      <c r="J39" s="19"/>
      <c r="K39" s="24"/>
      <c r="L39" s="24"/>
      <c r="M39" s="24"/>
      <c r="N39" s="24"/>
      <c r="O39" s="24"/>
      <c r="P39" s="57"/>
      <c r="Q39" s="24"/>
    </row>
    <row r="40" ht="25.5" customHeight="1">
      <c r="A40" s="53" t="s">
        <v>177</v>
      </c>
      <c r="B40" s="54" t="s">
        <v>178</v>
      </c>
      <c r="C40" s="10" t="s">
        <v>179</v>
      </c>
      <c r="D40" s="11" t="s">
        <v>27</v>
      </c>
      <c r="E40" s="13">
        <v>46238.0</v>
      </c>
      <c r="F40" s="13">
        <v>46238.0</v>
      </c>
      <c r="G40" s="11">
        <f t="shared" si="1"/>
        <v>1</v>
      </c>
      <c r="H40" s="10" t="s">
        <v>180</v>
      </c>
      <c r="I40" s="61">
        <v>0.0</v>
      </c>
      <c r="J40" s="10"/>
      <c r="K40" s="16"/>
      <c r="L40" s="16"/>
      <c r="M40" s="16"/>
      <c r="N40" s="16"/>
      <c r="O40" s="16"/>
      <c r="P40" s="16"/>
      <c r="Q40" s="57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0" customHeight="1">
      <c r="A42" s="62"/>
      <c r="B42" s="63" t="s">
        <v>181</v>
      </c>
      <c r="C42" s="64" t="str">
        <f>CONCAT("총 작업 ", COUNTA(A5:A40), "건")</f>
        <v>#N/A</v>
      </c>
      <c r="D42" s="62"/>
      <c r="E42" s="62"/>
      <c r="F42" s="62"/>
      <c r="G42" s="65">
        <f>SUM(G5:G40)</f>
        <v>40</v>
      </c>
      <c r="H42" s="66" t="s">
        <v>182</v>
      </c>
      <c r="I42" s="67">
        <f>AVERAGE(I5:I40)</f>
        <v>0.9361111111</v>
      </c>
      <c r="J42" s="62"/>
      <c r="K42" s="3"/>
      <c r="L42" s="3"/>
      <c r="M42" s="3"/>
      <c r="N42" s="3"/>
      <c r="O42" s="3"/>
      <c r="P42" s="3"/>
      <c r="Q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0" customHeight="1">
      <c r="A44" s="68" t="s">
        <v>183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0" customHeight="1">
      <c r="A45" s="15"/>
      <c r="B45" s="69" t="s">
        <v>184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0" customHeight="1">
      <c r="A46" s="29"/>
      <c r="B46" s="69" t="s">
        <v>185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0" customHeight="1">
      <c r="A47" s="34"/>
      <c r="B47" s="69" t="s">
        <v>186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0" customHeight="1">
      <c r="A48" s="39"/>
      <c r="B48" s="69" t="s">
        <v>187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0" customHeight="1">
      <c r="A49" s="44"/>
      <c r="B49" s="69" t="s">
        <v>188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0" customHeight="1">
      <c r="A50" s="49"/>
      <c r="B50" s="69" t="s">
        <v>189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5.0" customHeight="1">
      <c r="A51" s="57"/>
      <c r="B51" s="69" t="s">
        <v>190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5.0" customHeight="1">
      <c r="A52" s="70"/>
      <c r="B52" s="71" t="s">
        <v>191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5.0" customHeight="1">
      <c r="A54" s="72" t="s">
        <v>192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5.0" customHeight="1">
      <c r="A55" s="72" t="s">
        <v>193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</sheetData>
  <mergeCells count="2">
    <mergeCell ref="A1:Q1"/>
    <mergeCell ref="A2:Q2"/>
  </mergeCells>
  <dataValidations>
    <dataValidation type="decimal" allowBlank="1" sqref="I5:I40">
      <formula1>0.0</formula1>
      <formula2>1.0</formula2>
    </dataValidation>
  </dataValidations>
  <printOptions/>
  <pageMargins bottom="0.4" footer="0.0" header="0.0" left="0.3" right="0.3" top="0.4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2026-08-03T06:51:28Z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