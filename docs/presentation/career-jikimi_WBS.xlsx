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</sheets>
  <definedNames>
    <definedName function="false" hidden="false" localSheetId="0" name="_xlnm.Print_Titles" vbProcedure="false">WBS!$4:$4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<sst xmlns="http://schemas.openxmlformats.org/spreadsheetml/2006/main" count="237" uniqueCount="172">
  <si>
    <r>
      <rPr>
        <b val="true"/>
        <sz val="17"/>
        <color rgb="FF1B2A4A"/>
        <rFont val="맑은 고딕"/>
        <family val="0"/>
        <charset val="1"/>
      </rPr>
      <t xml:space="preserve">career-jikimi — </t>
    </r>
    <r>
      <rPr>
        <b val="true"/>
        <sz val="17"/>
        <color rgb="FF1B2A4A"/>
        <rFont val="Noto Sans CJK SC"/>
        <family val="2"/>
      </rPr>
      <t xml:space="preserve">프로젝트 </t>
    </r>
    <r>
      <rPr>
        <b val="true"/>
        <sz val="17"/>
        <color rgb="FF1B2A4A"/>
        <rFont val="맑은 고딕"/>
        <family val="0"/>
        <charset val="1"/>
      </rPr>
      <t xml:space="preserve">WBS</t>
    </r>
  </si>
  <si>
    <t xml:space="preserve">수행 기간 2026-07-28(화) ~ 08-04(화), 8일 · 인원 2명 (김지환 팀장 / 김연희 팀원) · 문맥 기반 오발송 탐지 시스템</t>
  </si>
  <si>
    <t xml:space="preserve">WBS</t>
  </si>
  <si>
    <t xml:space="preserve">단계</t>
  </si>
  <si>
    <t xml:space="preserve">작업 내용</t>
  </si>
  <si>
    <t xml:space="preserve">담당</t>
  </si>
  <si>
    <t xml:space="preserve">시작일</t>
  </si>
  <si>
    <t xml:space="preserve">종료일</t>
  </si>
  <si>
    <t xml:space="preserve">기간
(일)</t>
  </si>
  <si>
    <t xml:space="preserve">산출물</t>
  </si>
  <si>
    <t xml:space="preserve">진행률</t>
  </si>
  <si>
    <t xml:space="preserve">비고</t>
  </si>
  <si>
    <r>
      <rPr>
        <b val="true"/>
        <sz val="9"/>
        <color rgb="FFFFFFFF"/>
        <rFont val="맑은 고딕"/>
        <family val="0"/>
        <charset val="1"/>
      </rPr>
      <t xml:space="preserve">7/28
</t>
    </r>
    <r>
      <rPr>
        <b val="true"/>
        <sz val="9"/>
        <color rgb="FFFFFFFF"/>
        <rFont val="Noto Sans CJK SC"/>
        <family val="2"/>
      </rPr>
      <t xml:space="preserve">화</t>
    </r>
  </si>
  <si>
    <r>
      <rPr>
        <b val="true"/>
        <sz val="9"/>
        <color rgb="FFFFFFFF"/>
        <rFont val="맑은 고딕"/>
        <family val="0"/>
        <charset val="1"/>
      </rPr>
      <t xml:space="preserve">7/29
</t>
    </r>
    <r>
      <rPr>
        <b val="true"/>
        <sz val="9"/>
        <color rgb="FFFFFFFF"/>
        <rFont val="Noto Sans CJK SC"/>
        <family val="2"/>
      </rPr>
      <t xml:space="preserve">수</t>
    </r>
  </si>
  <si>
    <r>
      <rPr>
        <b val="true"/>
        <sz val="9"/>
        <color rgb="FFFFFFFF"/>
        <rFont val="맑은 고딕"/>
        <family val="0"/>
        <charset val="1"/>
      </rPr>
      <t xml:space="preserve">7/30
</t>
    </r>
    <r>
      <rPr>
        <b val="true"/>
        <sz val="9"/>
        <color rgb="FFFFFFFF"/>
        <rFont val="Noto Sans CJK SC"/>
        <family val="2"/>
      </rPr>
      <t xml:space="preserve">목</t>
    </r>
  </si>
  <si>
    <r>
      <rPr>
        <b val="true"/>
        <sz val="9"/>
        <color rgb="FFFFFFFF"/>
        <rFont val="맑은 고딕"/>
        <family val="0"/>
        <charset val="1"/>
      </rPr>
      <t xml:space="preserve">7/31
</t>
    </r>
    <r>
      <rPr>
        <b val="true"/>
        <sz val="9"/>
        <color rgb="FFFFFFFF"/>
        <rFont val="Noto Sans CJK SC"/>
        <family val="2"/>
      </rPr>
      <t xml:space="preserve">금</t>
    </r>
  </si>
  <si>
    <r>
      <rPr>
        <b val="true"/>
        <sz val="9"/>
        <color rgb="FFFFC9C9"/>
        <rFont val="맑은 고딕"/>
        <family val="0"/>
        <charset val="1"/>
      </rPr>
      <t xml:space="preserve">8/1
</t>
    </r>
    <r>
      <rPr>
        <b val="true"/>
        <sz val="9"/>
        <color rgb="FFFFC9C9"/>
        <rFont val="Noto Sans CJK SC"/>
        <family val="2"/>
      </rPr>
      <t xml:space="preserve">토</t>
    </r>
  </si>
  <si>
    <r>
      <rPr>
        <b val="true"/>
        <sz val="9"/>
        <color rgb="FFFFC9C9"/>
        <rFont val="맑은 고딕"/>
        <family val="0"/>
        <charset val="1"/>
      </rPr>
      <t xml:space="preserve">8/2
</t>
    </r>
    <r>
      <rPr>
        <b val="true"/>
        <sz val="9"/>
        <color rgb="FFFFC9C9"/>
        <rFont val="Noto Sans CJK SC"/>
        <family val="2"/>
      </rPr>
      <t xml:space="preserve">일</t>
    </r>
  </si>
  <si>
    <r>
      <rPr>
        <b val="true"/>
        <sz val="9"/>
        <color rgb="FFFFFFFF"/>
        <rFont val="맑은 고딕"/>
        <family val="0"/>
        <charset val="1"/>
      </rPr>
      <t xml:space="preserve">8/3
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</si>
  <si>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맑은 고딕"/>
        <family val="0"/>
        <charset val="1"/>
      </rPr>
      <t xml:space="preserve">8/4
</t>
    </r>
    <r>
      <rPr>
        <b val="true"/>
        <sz val="9"/>
        <color rgb="FFFFFFFF"/>
        <rFont val="Noto Sans CJK SC"/>
        <family val="2"/>
      </rPr>
      <t xml:space="preserve">화</t>
    </r>
  </si>
  <si>
    <t xml:space="preserve">1.1</t>
  </si>
  <si>
    <r>
      <rPr>
        <b val="true"/>
        <sz val="9.5"/>
        <color rgb="FF5B7BB5"/>
        <rFont val="맑은 고딕"/>
        <family val="0"/>
        <charset val="1"/>
      </rPr>
      <t xml:space="preserve">1. </t>
    </r>
    <r>
      <rPr>
        <b val="true"/>
        <sz val="9.5"/>
        <color rgb="FF5B7BB5"/>
        <rFont val="Noto Sans CJK SC"/>
        <family val="2"/>
      </rPr>
      <t xml:space="preserve">기획</t>
    </r>
  </si>
  <si>
    <t xml:space="preserve">주제 선정 및 문제 정의</t>
  </si>
  <si>
    <t xml:space="preserve">김지환, 김연희</t>
  </si>
  <si>
    <t xml:space="preserve">기획서 초안</t>
  </si>
  <si>
    <t xml:space="preserve">1.2</t>
  </si>
  <si>
    <t xml:space="preserve">개발 환경 구성 (Git · Docker · AI-DLC)</t>
  </si>
  <si>
    <t xml:space="preserve">김지환</t>
  </si>
  <si>
    <t xml:space="preserve">저장소, docker-compose</t>
  </si>
  <si>
    <t xml:space="preserve">1.3</t>
  </si>
  <si>
    <t xml:space="preserve">역할 분담 및 일정 수립</t>
  </si>
  <si>
    <r>
      <rPr>
        <sz val="10"/>
        <color rgb="FF1A1A1A"/>
        <rFont val="맑은 고딕"/>
        <family val="0"/>
        <charset val="1"/>
      </rPr>
      <t xml:space="preserve">WBS </t>
    </r>
    <r>
      <rPr>
        <sz val="10"/>
        <color rgb="FF1A1A1A"/>
        <rFont val="Noto Sans CJK SC"/>
        <family val="2"/>
      </rPr>
      <t xml:space="preserve">초안</t>
    </r>
  </si>
  <si>
    <t xml:space="preserve">2.1</t>
  </si>
  <si>
    <r>
      <rPr>
        <b val="true"/>
        <sz val="9.5"/>
        <color rgb="FF3E8E7E"/>
        <rFont val="맑은 고딕"/>
        <family val="0"/>
        <charset val="1"/>
      </rPr>
      <t xml:space="preserve">2. </t>
    </r>
    <r>
      <rPr>
        <b val="true"/>
        <sz val="9.5"/>
        <color rgb="FF3E8E7E"/>
        <rFont val="Noto Sans CJK SC"/>
        <family val="2"/>
      </rPr>
      <t xml:space="preserve">설계</t>
    </r>
  </si>
  <si>
    <t xml:space="preserve">요구사항 정의 (Intent Capture)</t>
  </si>
  <si>
    <t xml:space="preserve">intent-statement.md</t>
  </si>
  <si>
    <t xml:space="preserve">리뷰어 4라운드</t>
  </si>
  <si>
    <t xml:space="preserve">2.2</t>
  </si>
  <si>
    <t xml:space="preserve">범위 정의 (Must / Should / Won't)</t>
  </si>
  <si>
    <t xml:space="preserve">scope-document.md</t>
  </si>
  <si>
    <t xml:space="preserve">2.3</t>
  </si>
  <si>
    <t xml:space="preserve">아키텍처 설계 · 기술 스택 확정</t>
  </si>
  <si>
    <r>
      <rPr>
        <sz val="10"/>
        <color rgb="FF1A1A1A"/>
        <rFont val="맑은 고딕"/>
        <family val="0"/>
        <charset val="1"/>
      </rPr>
      <t xml:space="preserve">ADR 8</t>
    </r>
    <r>
      <rPr>
        <sz val="10"/>
        <color rgb="FF1A1A1A"/>
        <rFont val="Noto Sans CJK SC"/>
        <family val="2"/>
      </rPr>
      <t xml:space="preserve">건</t>
    </r>
  </si>
  <si>
    <r>
      <rPr>
        <sz val="10"/>
        <color rgb="FF1A1A1A"/>
        <rFont val="맑은 고딕"/>
        <family val="0"/>
        <charset val="1"/>
      </rPr>
      <t xml:space="preserve">DB·</t>
    </r>
    <r>
      <rPr>
        <sz val="10"/>
        <color rgb="FF1A1A1A"/>
        <rFont val="Noto Sans CJK SC"/>
        <family val="2"/>
      </rPr>
      <t xml:space="preserve">전송</t>
    </r>
    <r>
      <rPr>
        <sz val="10"/>
        <color rgb="FF1A1A1A"/>
        <rFont val="맑은 고딕"/>
        <family val="0"/>
        <charset val="1"/>
      </rPr>
      <t xml:space="preserve">·</t>
    </r>
    <r>
      <rPr>
        <sz val="10"/>
        <color rgb="FF1A1A1A"/>
        <rFont val="Noto Sans CJK SC"/>
        <family val="2"/>
      </rPr>
      <t xml:space="preserve">상태관리 결정</t>
    </r>
  </si>
  <si>
    <t xml:space="preserve">2.4</t>
  </si>
  <si>
    <t xml:space="preserve">기능 설계 및 작업 단위 도출</t>
  </si>
  <si>
    <t xml:space="preserve">기능 설계서 12건</t>
  </si>
  <si>
    <t xml:space="preserve">단위 5개</t>
  </si>
  <si>
    <t xml:space="preserve">2.5</t>
  </si>
  <si>
    <t xml:space="preserve">데이터 모델 설계</t>
  </si>
  <si>
    <t xml:space="preserve">스키마 6테이블</t>
  </si>
  <si>
    <t xml:space="preserve">판정 로그 포함</t>
  </si>
  <si>
    <t xml:space="preserve">3.1</t>
  </si>
  <si>
    <r>
      <rPr>
        <b val="true"/>
        <sz val="9.5"/>
        <color rgb="FFC7752A"/>
        <rFont val="맑은 고딕"/>
        <family val="0"/>
        <charset val="1"/>
      </rPr>
      <t xml:space="preserve">3. </t>
    </r>
    <r>
      <rPr>
        <b val="true"/>
        <sz val="9.5"/>
        <color rgb="FFC7752A"/>
        <rFont val="Noto Sans CJK SC"/>
        <family val="2"/>
      </rPr>
      <t xml:space="preserve">구현</t>
    </r>
  </si>
  <si>
    <r>
      <rPr>
        <sz val="10"/>
        <color rgb="FF1A1A1A"/>
        <rFont val="맑은 고딕"/>
        <family val="0"/>
        <charset val="1"/>
      </rPr>
      <t xml:space="preserve">foundation — </t>
    </r>
    <r>
      <rPr>
        <sz val="10"/>
        <color rgb="FF1A1A1A"/>
        <rFont val="Noto Sans CJK SC"/>
        <family val="2"/>
      </rPr>
      <t xml:space="preserve">컨테이너 </t>
    </r>
    <r>
      <rPr>
        <sz val="10"/>
        <color rgb="FF1A1A1A"/>
        <rFont val="맑은 고딕"/>
        <family val="0"/>
        <charset val="1"/>
      </rPr>
      <t xml:space="preserve">· DB · </t>
    </r>
    <r>
      <rPr>
        <sz val="10"/>
        <color rgb="FF1A1A1A"/>
        <rFont val="Noto Sans CJK SC"/>
        <family val="2"/>
      </rPr>
      <t xml:space="preserve">설정</t>
    </r>
  </si>
  <si>
    <t xml:space="preserve">기동 가능한 스켈레톤</t>
  </si>
  <si>
    <t xml:space="preserve">3.2</t>
  </si>
  <si>
    <r>
      <rPr>
        <sz val="10"/>
        <color rgb="FF1A1A1A"/>
        <rFont val="맑은 고딕"/>
        <family val="0"/>
        <charset val="1"/>
      </rPr>
      <t xml:space="preserve">auth-friends — </t>
    </r>
    <r>
      <rPr>
        <sz val="10"/>
        <color rgb="FF1A1A1A"/>
        <rFont val="Noto Sans CJK SC"/>
        <family val="2"/>
      </rPr>
      <t xml:space="preserve">인증 </t>
    </r>
    <r>
      <rPr>
        <sz val="10"/>
        <color rgb="FF1A1A1A"/>
        <rFont val="맑은 고딕"/>
        <family val="0"/>
        <charset val="1"/>
      </rPr>
      <t xml:space="preserve">· </t>
    </r>
    <r>
      <rPr>
        <sz val="10"/>
        <color rgb="FF1A1A1A"/>
        <rFont val="Noto Sans CJK SC"/>
        <family val="2"/>
      </rPr>
      <t xml:space="preserve">친구 등록</t>
    </r>
  </si>
  <si>
    <r>
      <rPr>
        <sz val="10"/>
        <color rgb="FF1A1A1A"/>
        <rFont val="맑은 고딕"/>
        <family val="0"/>
        <charset val="1"/>
      </rPr>
      <t xml:space="preserve">JWT </t>
    </r>
    <r>
      <rPr>
        <sz val="10"/>
        <color rgb="FF1A1A1A"/>
        <rFont val="Noto Sans CJK SC"/>
        <family val="2"/>
      </rPr>
      <t xml:space="preserve">인증</t>
    </r>
    <r>
      <rPr>
        <sz val="10"/>
        <color rgb="FF1A1A1A"/>
        <rFont val="맑은 고딕"/>
        <family val="0"/>
        <charset val="1"/>
      </rPr>
      <t xml:space="preserve">, </t>
    </r>
    <r>
      <rPr>
        <sz val="10"/>
        <color rgb="FF1A1A1A"/>
        <rFont val="Noto Sans CJK SC"/>
        <family val="2"/>
      </rPr>
      <t xml:space="preserve">친구 </t>
    </r>
    <r>
      <rPr>
        <sz val="10"/>
        <color rgb="FF1A1A1A"/>
        <rFont val="맑은 고딕"/>
        <family val="0"/>
        <charset val="1"/>
      </rPr>
      <t xml:space="preserve">API</t>
    </r>
  </si>
  <si>
    <t xml:space="preserve">3.3</t>
  </si>
  <si>
    <r>
      <rPr>
        <sz val="10"/>
        <color rgb="FF1A1A1A"/>
        <rFont val="맑은 고딕"/>
        <family val="0"/>
        <charset val="1"/>
      </rPr>
      <t xml:space="preserve">judgment-core — </t>
    </r>
    <r>
      <rPr>
        <sz val="10"/>
        <color rgb="FF1A1A1A"/>
        <rFont val="Noto Sans CJK SC"/>
        <family val="2"/>
      </rPr>
      <t xml:space="preserve">판정 </t>
    </r>
    <r>
      <rPr>
        <sz val="10"/>
        <color rgb="FF1A1A1A"/>
        <rFont val="맑은 고딕"/>
        <family val="0"/>
        <charset val="1"/>
      </rPr>
      <t xml:space="preserve">· </t>
    </r>
    <r>
      <rPr>
        <sz val="10"/>
        <color rgb="FF1A1A1A"/>
        <rFont val="Noto Sans CJK SC"/>
        <family val="2"/>
      </rPr>
      <t xml:space="preserve">프롬프트 </t>
    </r>
    <r>
      <rPr>
        <sz val="10"/>
        <color rgb="FF1A1A1A"/>
        <rFont val="맑은 고딕"/>
        <family val="0"/>
        <charset val="1"/>
      </rPr>
      <t xml:space="preserve">· CLI</t>
    </r>
  </si>
  <si>
    <t xml:space="preserve">판정 모듈, report/try</t>
  </si>
  <si>
    <t xml:space="preserve">3.4</t>
  </si>
  <si>
    <r>
      <rPr>
        <sz val="10"/>
        <color rgb="FF1A1A1A"/>
        <rFont val="맑은 고딕"/>
        <family val="0"/>
        <charset val="1"/>
      </rPr>
      <t xml:space="preserve">rooms-realtime — </t>
    </r>
    <r>
      <rPr>
        <sz val="10"/>
        <color rgb="FF1A1A1A"/>
        <rFont val="Noto Sans CJK SC"/>
        <family val="2"/>
      </rPr>
      <t xml:space="preserve">방 </t>
    </r>
    <r>
      <rPr>
        <sz val="10"/>
        <color rgb="FF1A1A1A"/>
        <rFont val="맑은 고딕"/>
        <family val="0"/>
        <charset val="1"/>
      </rPr>
      <t xml:space="preserve">· WebSocket</t>
    </r>
  </si>
  <si>
    <t xml:space="preserve">실시간 전송</t>
  </si>
  <si>
    <t xml:space="preserve">3.5</t>
  </si>
  <si>
    <r>
      <rPr>
        <sz val="10"/>
        <color rgb="FF1A1A1A"/>
        <rFont val="맑은 고딕"/>
        <family val="0"/>
        <charset val="1"/>
      </rPr>
      <t xml:space="preserve">messaging — </t>
    </r>
    <r>
      <rPr>
        <sz val="10"/>
        <color rgb="FF1A1A1A"/>
        <rFont val="Noto Sans CJK SC"/>
        <family val="2"/>
      </rPr>
      <t xml:space="preserve">전송 </t>
    </r>
    <r>
      <rPr>
        <sz val="10"/>
        <color rgb="FF1A1A1A"/>
        <rFont val="맑은 고딕"/>
        <family val="0"/>
        <charset val="1"/>
      </rPr>
      <t xml:space="preserve">· seq </t>
    </r>
    <r>
      <rPr>
        <sz val="10"/>
        <color rgb="FF1A1A1A"/>
        <rFont val="Noto Sans CJK SC"/>
        <family val="2"/>
      </rPr>
      <t xml:space="preserve">채번 </t>
    </r>
    <r>
      <rPr>
        <sz val="10"/>
        <color rgb="FF1A1A1A"/>
        <rFont val="맑은 고딕"/>
        <family val="0"/>
        <charset val="1"/>
      </rPr>
      <t xml:space="preserve">· </t>
    </r>
    <r>
      <rPr>
        <sz val="10"/>
        <color rgb="FF1A1A1A"/>
        <rFont val="Noto Sans CJK SC"/>
        <family val="2"/>
      </rPr>
      <t xml:space="preserve">히스토리</t>
    </r>
  </si>
  <si>
    <t xml:space="preserve">전송 오케스트레이션</t>
  </si>
  <si>
    <t xml:space="preserve">동시성 결함 4건 수정</t>
  </si>
  <si>
    <t xml:space="preserve">3.6</t>
  </si>
  <si>
    <t xml:space="preserve">프론트엔드 화면 구현</t>
  </si>
  <si>
    <r>
      <rPr>
        <sz val="10"/>
        <color rgb="FF1A1A1A"/>
        <rFont val="맑은 고딕"/>
        <family val="0"/>
        <charset val="1"/>
      </rPr>
      <t xml:space="preserve">React </t>
    </r>
    <r>
      <rPr>
        <sz val="10"/>
        <color rgb="FF1A1A1A"/>
        <rFont val="Noto Sans CJK SC"/>
        <family val="2"/>
      </rPr>
      <t xml:space="preserve">화면 </t>
    </r>
    <r>
      <rPr>
        <sz val="10"/>
        <color rgb="FF1A1A1A"/>
        <rFont val="맑은 고딕"/>
        <family val="0"/>
        <charset val="1"/>
      </rPr>
      <t xml:space="preserve">5</t>
    </r>
    <r>
      <rPr>
        <sz val="10"/>
        <color rgb="FF1A1A1A"/>
        <rFont val="Noto Sans CJK SC"/>
        <family val="2"/>
      </rPr>
      <t xml:space="preserve">종</t>
    </r>
  </si>
  <si>
    <t xml:space="preserve">3.7</t>
  </si>
  <si>
    <t xml:space="preserve">빌드 · 테스트</t>
  </si>
  <si>
    <t xml:space="preserve">백엔드 314 / 프론트 130</t>
  </si>
  <si>
    <t xml:space="preserve">종단 스모크 29/29</t>
  </si>
  <si>
    <t xml:space="preserve">4.1</t>
  </si>
  <si>
    <r>
      <rPr>
        <b val="true"/>
        <sz val="9.5"/>
        <color rgb="FF7A5BA6"/>
        <rFont val="맑은 고딕"/>
        <family val="0"/>
        <charset val="1"/>
      </rPr>
      <t xml:space="preserve">4. </t>
    </r>
    <r>
      <rPr>
        <b val="true"/>
        <sz val="9.5"/>
        <color rgb="FF7A5BA6"/>
        <rFont val="Noto Sans CJK SC"/>
        <family val="2"/>
      </rPr>
      <t xml:space="preserve">데이터셋</t>
    </r>
  </si>
  <si>
    <r>
      <rPr>
        <sz val="10"/>
        <color rgb="FF1A1A1A"/>
        <rFont val="맑은 고딕"/>
        <family val="0"/>
        <charset val="1"/>
      </rPr>
      <t xml:space="preserve">v1 100</t>
    </r>
    <r>
      <rPr>
        <sz val="10"/>
        <color rgb="FF1A1A1A"/>
        <rFont val="Noto Sans CJK SC"/>
        <family val="2"/>
      </rPr>
      <t xml:space="preserve">행 제작 및 누출 발견</t>
    </r>
  </si>
  <si>
    <t xml:space="preserve">김연희</t>
  </si>
  <si>
    <r>
      <rPr>
        <sz val="10"/>
        <color rgb="FF1A1A1A"/>
        <rFont val="맑은 고딕"/>
        <family val="0"/>
        <charset val="1"/>
      </rPr>
      <t xml:space="preserve">100</t>
    </r>
    <r>
      <rPr>
        <sz val="10"/>
        <color rgb="FF1A1A1A"/>
        <rFont val="Noto Sans CJK SC"/>
        <family val="2"/>
      </rPr>
      <t xml:space="preserve">행 데이터셋</t>
    </r>
  </si>
  <si>
    <t xml:space="preserve">response-only 0.940</t>
  </si>
  <si>
    <t xml:space="preserve">4.2</t>
  </si>
  <si>
    <r>
      <rPr>
        <sz val="10"/>
        <color rgb="FF1A1A1A"/>
        <rFont val="맑은 고딕"/>
        <family val="0"/>
        <charset val="1"/>
      </rPr>
      <t xml:space="preserve">v2 · v2.5 </t>
    </r>
    <r>
      <rPr>
        <sz val="10"/>
        <color rgb="FF1A1A1A"/>
        <rFont val="Noto Sans CJK SC"/>
        <family val="2"/>
      </rPr>
      <t xml:space="preserve">확장</t>
    </r>
  </si>
  <si>
    <r>
      <rPr>
        <sz val="10"/>
        <color rgb="FF1A1A1A"/>
        <rFont val="맑은 고딕"/>
        <family val="0"/>
        <charset val="1"/>
      </rPr>
      <t xml:space="preserve">744</t>
    </r>
    <r>
      <rPr>
        <sz val="10"/>
        <color rgb="FF1A1A1A"/>
        <rFont val="Noto Sans CJK SC"/>
        <family val="2"/>
      </rPr>
      <t xml:space="preserve">행 통합본</t>
    </r>
  </si>
  <si>
    <t xml:space="preserve">4.3</t>
  </si>
  <si>
    <r>
      <rPr>
        <sz val="10"/>
        <color rgb="FF1A1A1A"/>
        <rFont val="맑은 고딕"/>
        <family val="0"/>
        <charset val="1"/>
      </rPr>
      <t xml:space="preserve">v3 1000</t>
    </r>
    <r>
      <rPr>
        <sz val="10"/>
        <color rgb="FF1A1A1A"/>
        <rFont val="Noto Sans CJK SC"/>
        <family val="2"/>
      </rPr>
      <t xml:space="preserve">행 재설계</t>
    </r>
  </si>
  <si>
    <t xml:space="preserve">training_dataset_v3_1000</t>
  </si>
  <si>
    <t xml:space="preserve">응답 500개 양쪽 라벨</t>
  </si>
  <si>
    <t xml:space="preserve">4.4</t>
  </si>
  <si>
    <t xml:space="preserve">평가셋 2종 제작</t>
  </si>
  <si>
    <t xml:space="preserve">test_dataset_100 / _hard</t>
  </si>
  <si>
    <t xml:space="preserve">학습과 중복 0건</t>
  </si>
  <si>
    <t xml:space="preserve">4.5</t>
  </si>
  <si>
    <t xml:space="preserve">데이터셋 문서화</t>
  </si>
  <si>
    <t xml:space="preserve">README_dataset v2 · v2.5</t>
  </si>
  <si>
    <t xml:space="preserve">5.1</t>
  </si>
  <si>
    <r>
      <rPr>
        <b val="true"/>
        <sz val="9.5"/>
        <color rgb="FF1B2A4A"/>
        <rFont val="맑은 고딕"/>
        <family val="0"/>
        <charset val="1"/>
      </rPr>
      <t xml:space="preserve">5. </t>
    </r>
    <r>
      <rPr>
        <b val="true"/>
        <sz val="9.5"/>
        <color rgb="FF1B2A4A"/>
        <rFont val="Noto Sans CJK SC"/>
        <family val="2"/>
      </rPr>
      <t xml:space="preserve">모델</t>
    </r>
  </si>
  <si>
    <r>
      <rPr>
        <sz val="10"/>
        <color rgb="FF1A1A1A"/>
        <rFont val="맑은 고딕"/>
        <family val="0"/>
        <charset val="1"/>
      </rPr>
      <t xml:space="preserve">A.X-Encoder </t>
    </r>
    <r>
      <rPr>
        <sz val="10"/>
        <color rgb="FF1A1A1A"/>
        <rFont val="Noto Sans CJK SC"/>
        <family val="2"/>
      </rPr>
      <t xml:space="preserve">파인튜닝</t>
    </r>
  </si>
  <si>
    <r>
      <rPr>
        <sz val="10"/>
        <color rgb="FF1A1A1A"/>
        <rFont val="맑은 고딕"/>
        <family val="0"/>
        <charset val="1"/>
      </rPr>
      <t xml:space="preserve">context_checker </t>
    </r>
    <r>
      <rPr>
        <sz val="10"/>
        <color rgb="FF1A1A1A"/>
        <rFont val="Noto Sans CJK SC"/>
        <family val="2"/>
      </rPr>
      <t xml:space="preserve">모델</t>
    </r>
  </si>
  <si>
    <t xml:space="preserve">EPOCHS 4 · LR 5e-5</t>
  </si>
  <si>
    <t xml:space="preserve">5.2</t>
  </si>
  <si>
    <t xml:space="preserve">화자 익명화 적용 · 효과 검증</t>
  </si>
  <si>
    <t xml:space="preserve">익명화 규칙</t>
  </si>
  <si>
    <t xml:space="preserve">과적합 격차 0.050→-0.005</t>
  </si>
  <si>
    <t xml:space="preserve">5.3</t>
  </si>
  <si>
    <t xml:space="preserve">교차검증 · 절제 실험</t>
  </si>
  <si>
    <t xml:space="preserve">OOF, swapped/empty</t>
  </si>
  <si>
    <t xml:space="preserve">하락폭 +0.368</t>
  </si>
  <si>
    <t xml:space="preserve">5.4</t>
  </si>
  <si>
    <t xml:space="preserve">평가셋 성능 측정</t>
  </si>
  <si>
    <t xml:space="preserve">판정_성능_보고.md</t>
  </si>
  <si>
    <r>
      <rPr>
        <sz val="10"/>
        <color rgb="FF1A1A1A"/>
        <rFont val="맑은 고딕"/>
        <family val="0"/>
        <charset val="1"/>
      </rPr>
      <t xml:space="preserve">AUC 1.000 / FP 0</t>
    </r>
    <r>
      <rPr>
        <sz val="10"/>
        <color rgb="FF1A1A1A"/>
        <rFont val="Noto Sans CJK SC"/>
        <family val="2"/>
      </rPr>
      <t xml:space="preserve">건</t>
    </r>
  </si>
  <si>
    <t xml:space="preserve">5.5</t>
  </si>
  <si>
    <t xml:space="preserve">판정 백엔드 추상화</t>
  </si>
  <si>
    <r>
      <rPr>
        <sz val="10"/>
        <color rgb="FF1A1A1A"/>
        <rFont val="맑은 고딕"/>
        <family val="0"/>
        <charset val="1"/>
      </rPr>
      <t xml:space="preserve">backend.py </t>
    </r>
    <r>
      <rPr>
        <sz val="10"/>
        <color rgb="FF1A1A1A"/>
        <rFont val="Noto Sans CJK SC"/>
        <family val="2"/>
      </rPr>
      <t xml:space="preserve">라우터</t>
    </r>
  </si>
  <si>
    <t xml:space="preserve">encoder/openai/ollama</t>
  </si>
  <si>
    <t xml:space="preserve">5.6</t>
  </si>
  <si>
    <t xml:space="preserve">웹앱 적용 및 회귀 테스트</t>
  </si>
  <si>
    <t xml:space="preserve">테스트 355 passed</t>
  </si>
  <si>
    <r>
      <rPr>
        <sz val="10"/>
        <color rgb="FF1A1A1A"/>
        <rFont val="맑은 고딕"/>
        <family val="0"/>
        <charset val="1"/>
      </rPr>
      <t xml:space="preserve">API </t>
    </r>
    <r>
      <rPr>
        <sz val="10"/>
        <color rgb="FF1A1A1A"/>
        <rFont val="Noto Sans CJK SC"/>
        <family val="2"/>
      </rPr>
      <t xml:space="preserve">키 없이 판정 동작</t>
    </r>
  </si>
  <si>
    <t xml:space="preserve">6.1</t>
  </si>
  <si>
    <r>
      <rPr>
        <b val="true"/>
        <sz val="9.5"/>
        <color rgb="FFB5504E"/>
        <rFont val="맑은 고딕"/>
        <family val="0"/>
        <charset val="1"/>
      </rPr>
      <t xml:space="preserve">6. </t>
    </r>
    <r>
      <rPr>
        <b val="true"/>
        <sz val="9.5"/>
        <color rgb="FFB5504E"/>
        <rFont val="Noto Sans CJK SC"/>
        <family val="2"/>
      </rPr>
      <t xml:space="preserve">검증</t>
    </r>
    <r>
      <rPr>
        <b val="true"/>
        <sz val="9.5"/>
        <color rgb="FFB5504E"/>
        <rFont val="맑은 고딕"/>
        <family val="0"/>
        <charset val="1"/>
      </rPr>
      <t xml:space="preserve">·</t>
    </r>
    <r>
      <rPr>
        <b val="true"/>
        <sz val="9.5"/>
        <color rgb="FFB5504E"/>
        <rFont val="Noto Sans CJK SC"/>
        <family val="2"/>
      </rPr>
      <t xml:space="preserve">보완</t>
    </r>
  </si>
  <si>
    <t xml:space="preserve">평가셋 v4 200행 제작</t>
  </si>
  <si>
    <t xml:space="preserve">test_dataset_v4_200</t>
  </si>
  <si>
    <t xml:space="preserve">6.2</t>
  </si>
  <si>
    <t xml:space="preserve">학습 곡선 계측 (EPOCHS 검증)</t>
  </si>
  <si>
    <t xml:space="preserve">learning_curve.csv</t>
  </si>
  <si>
    <r>
      <rPr>
        <sz val="10"/>
        <color rgb="FF1A1A1A"/>
        <rFont val="맑은 고딕"/>
        <family val="0"/>
        <charset val="1"/>
      </rPr>
      <t xml:space="preserve">16 epoch · EPOCHS 4 </t>
    </r>
    <r>
      <rPr>
        <sz val="10"/>
        <color rgb="FF1A1A1A"/>
        <rFont val="Noto Sans CJK SC"/>
        <family val="2"/>
      </rPr>
      <t xml:space="preserve">확인</t>
    </r>
  </si>
  <si>
    <t xml:space="preserve">6.3</t>
  </si>
  <si>
    <r>
      <rPr>
        <sz val="10"/>
        <color rgb="FF1A1A1A"/>
        <rFont val="맑은 고딕"/>
        <family val="0"/>
        <charset val="1"/>
      </rPr>
      <t xml:space="preserve">threshold </t>
    </r>
    <r>
      <rPr>
        <sz val="10"/>
        <color rgb="FF1A1A1A"/>
        <rFont val="Noto Sans CJK SC"/>
        <family val="2"/>
      </rPr>
      <t xml:space="preserve">설정 오류 발견 </t>
    </r>
    <r>
      <rPr>
        <sz val="10"/>
        <color rgb="FF1A1A1A"/>
        <rFont val="맑은 고딕"/>
        <family val="0"/>
        <charset val="1"/>
      </rPr>
      <t xml:space="preserve">· </t>
    </r>
    <r>
      <rPr>
        <sz val="10"/>
        <color rgb="FF1A1A1A"/>
        <rFont val="Noto Sans CJK SC"/>
        <family val="2"/>
      </rPr>
      <t xml:space="preserve">수정</t>
    </r>
  </si>
  <si>
    <t xml:space="preserve">.env ENCODER_THRESHOLD</t>
  </si>
  <si>
    <t xml:space="preserve">0.99 → 0.7</t>
  </si>
  <si>
    <t xml:space="preserve">6.4</t>
  </si>
  <si>
    <t xml:space="preserve">독립 평가 스크립트 작성 · 재현</t>
  </si>
  <si>
    <t xml:space="preserve">scripts/eval_testset.py</t>
  </si>
  <si>
    <t xml:space="preserve">단일 요청 지연 확정</t>
  </si>
  <si>
    <t xml:space="preserve">7.1</t>
  </si>
  <si>
    <r>
      <rPr>
        <b val="true"/>
        <sz val="9.5"/>
        <color rgb="FF4A7C2F"/>
        <rFont val="맑은 고딕"/>
        <family val="0"/>
        <charset val="1"/>
      </rPr>
      <t xml:space="preserve">7. </t>
    </r>
    <r>
      <rPr>
        <b val="true"/>
        <sz val="9.5"/>
        <color rgb="FF4A7C2F"/>
        <rFont val="Noto Sans CJK SC"/>
        <family val="2"/>
      </rPr>
      <t xml:space="preserve">발표 준비</t>
    </r>
  </si>
  <si>
    <t xml:space="preserve">성능 보고서 정리</t>
  </si>
  <si>
    <t xml:space="preserve">7.2</t>
  </si>
  <si>
    <r>
      <rPr>
        <sz val="10"/>
        <color rgb="FF1A1A1A"/>
        <rFont val="맑은 고딕"/>
        <family val="0"/>
        <charset val="1"/>
      </rPr>
      <t xml:space="preserve">README </t>
    </r>
    <r>
      <rPr>
        <sz val="10"/>
        <color rgb="FF1A1A1A"/>
        <rFont val="Noto Sans CJK SC"/>
        <family val="2"/>
      </rPr>
      <t xml:space="preserve">재작성</t>
    </r>
  </si>
  <si>
    <t xml:space="preserve">README.md v2.0</t>
  </si>
  <si>
    <t xml:space="preserve">7.3</t>
  </si>
  <si>
    <t xml:space="preserve">발표용 그래프 제작</t>
  </si>
  <si>
    <t xml:space="preserve">그래프 5종 · 해석 가이드</t>
  </si>
  <si>
    <t xml:space="preserve">7.4</t>
  </si>
  <si>
    <t xml:space="preserve">발표자료 작성</t>
  </si>
  <si>
    <t xml:space="preserve">발표자료 16장</t>
  </si>
  <si>
    <t xml:space="preserve">7.5</t>
  </si>
  <si>
    <t xml:space="preserve">시연 영상 촬영 · 편집</t>
  </si>
  <si>
    <t xml:space="preserve">시연 영상 60초</t>
  </si>
  <si>
    <t xml:space="preserve">슬라이드 6장에 삽입</t>
  </si>
  <si>
    <t xml:space="preserve">7.6</t>
  </si>
  <si>
    <t xml:space="preserve">리허설 · 예상 질문 정리</t>
  </si>
  <si>
    <t xml:space="preserve">발표 노트</t>
  </si>
  <si>
    <t xml:space="preserve">7.7</t>
  </si>
  <si>
    <t xml:space="preserve">최종 발표</t>
  </si>
  <si>
    <t xml:space="preserve">발표</t>
  </si>
  <si>
    <t xml:space="preserve">합계</t>
  </si>
  <si>
    <t xml:space="preserve">전체 진행률</t>
  </si>
  <si>
    <t xml:space="preserve">범례</t>
  </si>
  <si>
    <r>
      <rPr>
        <sz val="9.5"/>
        <color rgb="FF1A1A1A"/>
        <rFont val="맑은 고딕"/>
        <family val="0"/>
        <charset val="1"/>
      </rPr>
      <t xml:space="preserve">1. </t>
    </r>
    <r>
      <rPr>
        <sz val="9.5"/>
        <color rgb="FF1A1A1A"/>
        <rFont val="Noto Sans CJK SC"/>
        <family val="2"/>
      </rPr>
      <t xml:space="preserve">기획</t>
    </r>
  </si>
  <si>
    <r>
      <rPr>
        <sz val="9.5"/>
        <color rgb="FF1A1A1A"/>
        <rFont val="맑은 고딕"/>
        <family val="0"/>
        <charset val="1"/>
      </rPr>
      <t xml:space="preserve">2. </t>
    </r>
    <r>
      <rPr>
        <sz val="9.5"/>
        <color rgb="FF1A1A1A"/>
        <rFont val="Noto Sans CJK SC"/>
        <family val="2"/>
      </rPr>
      <t xml:space="preserve">설계</t>
    </r>
  </si>
  <si>
    <r>
      <rPr>
        <sz val="9.5"/>
        <color rgb="FF1A1A1A"/>
        <rFont val="맑은 고딕"/>
        <family val="0"/>
        <charset val="1"/>
      </rPr>
      <t xml:space="preserve">3. </t>
    </r>
    <r>
      <rPr>
        <sz val="9.5"/>
        <color rgb="FF1A1A1A"/>
        <rFont val="Noto Sans CJK SC"/>
        <family val="2"/>
      </rPr>
      <t xml:space="preserve">구현</t>
    </r>
  </si>
  <si>
    <r>
      <rPr>
        <sz val="9.5"/>
        <color rgb="FF1A1A1A"/>
        <rFont val="맑은 고딕"/>
        <family val="0"/>
        <charset val="1"/>
      </rPr>
      <t xml:space="preserve">4. </t>
    </r>
    <r>
      <rPr>
        <sz val="9.5"/>
        <color rgb="FF1A1A1A"/>
        <rFont val="Noto Sans CJK SC"/>
        <family val="2"/>
      </rPr>
      <t xml:space="preserve">데이터셋</t>
    </r>
  </si>
  <si>
    <r>
      <rPr>
        <sz val="9.5"/>
        <color rgb="FF1A1A1A"/>
        <rFont val="맑은 고딕"/>
        <family val="0"/>
        <charset val="1"/>
      </rPr>
      <t xml:space="preserve">5. </t>
    </r>
    <r>
      <rPr>
        <sz val="9.5"/>
        <color rgb="FF1A1A1A"/>
        <rFont val="Noto Sans CJK SC"/>
        <family val="2"/>
      </rPr>
      <t xml:space="preserve">모델</t>
    </r>
  </si>
  <si>
    <r>
      <rPr>
        <sz val="9.5"/>
        <color rgb="FF1A1A1A"/>
        <rFont val="맑은 고딕"/>
        <family val="0"/>
        <charset val="1"/>
      </rPr>
      <t xml:space="preserve">6. </t>
    </r>
    <r>
      <rPr>
        <sz val="9.5"/>
        <color rgb="FF1A1A1A"/>
        <rFont val="Noto Sans CJK SC"/>
        <family val="2"/>
      </rPr>
      <t xml:space="preserve">검증</t>
    </r>
    <r>
      <rPr>
        <sz val="9.5"/>
        <color rgb="FF1A1A1A"/>
        <rFont val="맑은 고딕"/>
        <family val="0"/>
        <charset val="1"/>
      </rPr>
      <t xml:space="preserve">·</t>
    </r>
    <r>
      <rPr>
        <sz val="9.5"/>
        <color rgb="FF1A1A1A"/>
        <rFont val="Noto Sans CJK SC"/>
        <family val="2"/>
      </rPr>
      <t xml:space="preserve">보완</t>
    </r>
  </si>
  <si>
    <r>
      <rPr>
        <sz val="9.5"/>
        <color rgb="FF1A1A1A"/>
        <rFont val="맑은 고딕"/>
        <family val="0"/>
        <charset val="1"/>
      </rPr>
      <t xml:space="preserve">7. </t>
    </r>
    <r>
      <rPr>
        <sz val="9.5"/>
        <color rgb="FF1A1A1A"/>
        <rFont val="Noto Sans CJK SC"/>
        <family val="2"/>
      </rPr>
      <t xml:space="preserve">발표 준비</t>
    </r>
  </si>
  <si>
    <t xml:space="preserve">주말</t>
  </si>
  <si>
    <r>
      <rPr>
        <sz val="9"/>
        <color rgb="FF8A93A8"/>
        <rFont val="맑은 고딕"/>
        <family val="0"/>
        <charset val="1"/>
      </rPr>
      <t xml:space="preserve">· </t>
    </r>
    <r>
      <rPr>
        <sz val="9"/>
        <color rgb="FF8A93A8"/>
        <rFont val="Noto Sans CJK SC"/>
        <family val="2"/>
      </rPr>
      <t xml:space="preserve">진행률과 담당은 직접 수정하는 칸입니다</t>
    </r>
    <r>
      <rPr>
        <sz val="9"/>
        <color rgb="FF8A93A8"/>
        <rFont val="맑은 고딕"/>
        <family val="0"/>
        <charset val="1"/>
      </rPr>
      <t xml:space="preserve">. </t>
    </r>
    <r>
      <rPr>
        <sz val="9"/>
        <color rgb="FF8A93A8"/>
        <rFont val="Noto Sans CJK SC"/>
        <family val="2"/>
      </rPr>
      <t xml:space="preserve">기간</t>
    </r>
    <r>
      <rPr>
        <sz val="9"/>
        <color rgb="FF8A93A8"/>
        <rFont val="맑은 고딕"/>
        <family val="0"/>
        <charset val="1"/>
      </rPr>
      <t xml:space="preserve">(G</t>
    </r>
    <r>
      <rPr>
        <sz val="9"/>
        <color rgb="FF8A93A8"/>
        <rFont val="Noto Sans CJK SC"/>
        <family val="2"/>
      </rPr>
      <t xml:space="preserve">열</t>
    </r>
    <r>
      <rPr>
        <sz val="9"/>
        <color rgb="FF8A93A8"/>
        <rFont val="맑은 고딕"/>
        <family val="0"/>
        <charset val="1"/>
      </rPr>
      <t xml:space="preserve">)</t>
    </r>
    <r>
      <rPr>
        <sz val="9"/>
        <color rgb="FF8A93A8"/>
        <rFont val="Noto Sans CJK SC"/>
        <family val="2"/>
      </rPr>
      <t xml:space="preserve">과 합계는 수식이므로 건드리지 마세요</t>
    </r>
    <r>
      <rPr>
        <sz val="9"/>
        <color rgb="FF8A93A8"/>
        <rFont val="맑은 고딕"/>
        <family val="0"/>
        <charset val="1"/>
      </rPr>
      <t xml:space="preserve">.</t>
    </r>
  </si>
  <si>
    <r>
      <rPr>
        <sz val="9"/>
        <color rgb="FF8A93A8"/>
        <rFont val="맑은 고딕"/>
        <family val="0"/>
        <charset val="1"/>
      </rPr>
      <t xml:space="preserve">· </t>
    </r>
    <r>
      <rPr>
        <sz val="9"/>
        <color rgb="FF8A93A8"/>
        <rFont val="Noto Sans CJK SC"/>
        <family val="2"/>
      </rPr>
      <t xml:space="preserve">작업 이력은 </t>
    </r>
    <r>
      <rPr>
        <sz val="9"/>
        <color rgb="FF8A93A8"/>
        <rFont val="맑은 고딕"/>
        <family val="0"/>
        <charset val="1"/>
      </rPr>
      <t xml:space="preserve">docs/daily </t>
    </r>
    <r>
      <rPr>
        <sz val="9"/>
        <color rgb="FF8A93A8"/>
        <rFont val="Noto Sans CJK SC"/>
        <family val="2"/>
      </rPr>
      <t xml:space="preserve">기록과 저장소 파일 타임스탬프를 근거로 작성했습니다</t>
    </r>
    <r>
      <rPr>
        <sz val="9"/>
        <color rgb="FF8A93A8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</si>
</sst>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\-dd"/>
    <numFmt numFmtId="166" formatCode="0%"/>
    <numFmt numFmtId="167" formatCode="General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1B2A4A"/>
      <name val="맑은 고딕"/>
      <family val="0"/>
      <charset val="1"/>
    </font>
    <font>
      <b val="true"/>
      <sz val="17"/>
      <color rgb="FF1B2A4A"/>
      <name val="Noto Sans CJK SC"/>
      <family val="2"/>
    </font>
    <font>
      <sz val="10"/>
      <color rgb="FF52514E"/>
      <name val="Noto Sans CJK SC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C9C9"/>
      <name val="맑은 고딕"/>
      <family val="0"/>
      <charset val="1"/>
    </font>
    <font>
      <b val="true"/>
      <sz val="9"/>
      <color rgb="FFFFC9C9"/>
      <name val="Noto Sans CJK SC"/>
      <family val="2"/>
    </font>
    <font>
      <b val="true"/>
      <sz val="10"/>
      <color rgb="FF5B7BB5"/>
      <name val="맑은 고딕"/>
      <family val="0"/>
      <charset val="1"/>
    </font>
    <font>
      <b val="true"/>
      <sz val="9.5"/>
      <color rgb="FF5B7BB5"/>
      <name val="맑은 고딕"/>
      <family val="0"/>
      <charset val="1"/>
    </font>
    <font>
      <b val="true"/>
      <sz val="9.5"/>
      <color rgb="FF5B7BB5"/>
      <name val="Noto Sans CJK SC"/>
      <family val="2"/>
    </font>
    <font>
      <sz val="10"/>
      <color rgb="FF1A1A1A"/>
      <name val="Noto Sans CJK SC"/>
      <family val="2"/>
      <charset val="1"/>
    </font>
    <font>
      <sz val="10"/>
      <color rgb="FF1A1A1A"/>
      <name val="맑은 고딕"/>
      <family val="0"/>
      <charset val="1"/>
    </font>
    <font>
      <b val="true"/>
      <sz val="10"/>
      <color rgb="FF1E7A45"/>
      <name val="맑은 고딕"/>
      <family val="0"/>
      <charset val="1"/>
    </font>
    <font>
      <sz val="10"/>
      <color rgb="FF1A1A1A"/>
      <name val="Noto Sans CJK SC"/>
      <family val="2"/>
    </font>
    <font>
      <b val="true"/>
      <sz val="10"/>
      <color rgb="FF3E8E7E"/>
      <name val="맑은 고딕"/>
      <family val="0"/>
      <charset val="1"/>
    </font>
    <font>
      <b val="true"/>
      <sz val="9.5"/>
      <color rgb="FF3E8E7E"/>
      <name val="맑은 고딕"/>
      <family val="0"/>
      <charset val="1"/>
    </font>
    <font>
      <b val="true"/>
      <sz val="9.5"/>
      <color rgb="FF3E8E7E"/>
      <name val="Noto Sans CJK SC"/>
      <family val="2"/>
    </font>
    <font>
      <b val="true"/>
      <sz val="10"/>
      <color rgb="FFC7752A"/>
      <name val="맑은 고딕"/>
      <family val="0"/>
      <charset val="1"/>
    </font>
    <font>
      <b val="true"/>
      <sz val="9.5"/>
      <color rgb="FFC7752A"/>
      <name val="맑은 고딕"/>
      <family val="0"/>
      <charset val="1"/>
    </font>
    <font>
      <b val="true"/>
      <sz val="9.5"/>
      <color rgb="FFC7752A"/>
      <name val="Noto Sans CJK SC"/>
      <family val="2"/>
    </font>
    <font>
      <b val="true"/>
      <sz val="10"/>
      <color rgb="FF7A5BA6"/>
      <name val="맑은 고딕"/>
      <family val="0"/>
      <charset val="1"/>
    </font>
    <font>
      <b val="true"/>
      <sz val="9.5"/>
      <color rgb="FF7A5BA6"/>
      <name val="맑은 고딕"/>
      <family val="0"/>
      <charset val="1"/>
    </font>
    <font>
      <b val="true"/>
      <sz val="9.5"/>
      <color rgb="FF7A5BA6"/>
      <name val="Noto Sans CJK SC"/>
      <family val="2"/>
    </font>
    <font>
      <b val="true"/>
      <sz val="10"/>
      <color rgb="FF1B2A4A"/>
      <name val="맑은 고딕"/>
      <family val="0"/>
      <charset val="1"/>
    </font>
    <font>
      <b val="true"/>
      <sz val="9.5"/>
      <color rgb="FF1B2A4A"/>
      <name val="맑은 고딕"/>
      <family val="0"/>
      <charset val="1"/>
    </font>
    <font>
      <b val="true"/>
      <sz val="9.5"/>
      <color rgb="FF1B2A4A"/>
      <name val="Noto Sans CJK SC"/>
      <family val="2"/>
    </font>
    <font>
      <b val="true"/>
      <sz val="10"/>
      <color rgb="FFB5504E"/>
      <name val="맑은 고딕"/>
      <family val="0"/>
      <charset val="1"/>
    </font>
    <font>
      <b val="true"/>
      <sz val="9.5"/>
      <color rgb="FFB5504E"/>
      <name val="맑은 고딕"/>
      <family val="0"/>
      <charset val="1"/>
    </font>
    <font>
      <b val="true"/>
      <sz val="9.5"/>
      <color rgb="FFB5504E"/>
      <name val="Noto Sans CJK SC"/>
      <family val="2"/>
    </font>
    <font>
      <b val="true"/>
      <sz val="10"/>
      <color rgb="FFEB6834"/>
      <name val="맑은 고딕"/>
      <family val="0"/>
      <charset val="1"/>
    </font>
    <font>
      <b val="true"/>
      <sz val="10"/>
      <color rgb="FF4A7C2F"/>
      <name val="맑은 고딕"/>
      <family val="0"/>
      <charset val="1"/>
    </font>
    <font>
      <b val="true"/>
      <sz val="9.5"/>
      <color rgb="FF4A7C2F"/>
      <name val="맑은 고딕"/>
      <family val="0"/>
      <charset val="1"/>
    </font>
    <font>
      <b val="true"/>
      <sz val="9.5"/>
      <color rgb="FF4A7C2F"/>
      <name val="Noto Sans CJK SC"/>
      <family val="2"/>
    </font>
    <font>
      <sz val="10"/>
      <color rgb="FF8A93A8"/>
      <name val="맑은 고딕"/>
      <family val="0"/>
      <charset val="1"/>
    </font>
    <font>
      <b val="true"/>
      <sz val="10"/>
      <color rgb="FF1B2A4A"/>
      <name val="Noto Sans CJK SC"/>
      <family val="2"/>
      <charset val="1"/>
    </font>
    <font>
      <b val="true"/>
      <sz val="10"/>
      <color rgb="FF1A1A1A"/>
      <name val="Noto Sans CJK SC"/>
      <family val="2"/>
      <charset val="1"/>
    </font>
    <font>
      <b val="true"/>
      <sz val="10"/>
      <color rgb="FF1A1A1A"/>
      <name val="맑은 고딕"/>
      <family val="0"/>
      <charset val="1"/>
    </font>
    <font>
      <b val="true"/>
      <sz val="11"/>
      <color rgb="FFEB6834"/>
      <name val="맑은 고딕"/>
      <family val="0"/>
      <charset val="1"/>
    </font>
    <font>
      <sz val="9.5"/>
      <color rgb="FF1A1A1A"/>
      <name val="맑은 고딕"/>
      <family val="0"/>
      <charset val="1"/>
    </font>
    <font>
      <sz val="9.5"/>
      <color rgb="FF1A1A1A"/>
      <name val="Noto Sans CJK SC"/>
      <family val="2"/>
    </font>
    <font>
      <sz val="9.5"/>
      <color rgb="FF1A1A1A"/>
      <name val="Noto Sans CJK SC"/>
      <family val="2"/>
      <charset val="1"/>
    </font>
    <font>
      <sz val="9"/>
      <color rgb="FF8A93A8"/>
      <name val="맑은 고딕"/>
      <family val="0"/>
      <charset val="1"/>
    </font>
    <font>
      <sz val="9"/>
      <color rgb="FF8A93A8"/>
      <name val="Noto Sans CJK SC"/>
      <family val="2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5B7BB5"/>
        <bgColor rgb="FF3E8E7E"/>
      </patternFill>
    </fill>
    <fill>
      <patternFill patternType="solid">
        <fgColor rgb="FFFDF1F1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3E8E7E"/>
        <bgColor rgb="FF5B7BB5"/>
      </patternFill>
    </fill>
    <fill>
      <patternFill patternType="solid">
        <fgColor rgb="FFC7752A"/>
        <bgColor rgb="FFEB6834"/>
      </patternFill>
    </fill>
    <fill>
      <patternFill patternType="solid">
        <fgColor rgb="FF7A5BA6"/>
        <bgColor rgb="FF5B7BB5"/>
      </patternFill>
    </fill>
    <fill>
      <patternFill patternType="solid">
        <fgColor rgb="FFB5504E"/>
        <bgColor rgb="FF993366"/>
      </patternFill>
    </fill>
    <fill>
      <patternFill patternType="solid">
        <fgColor rgb="FF4A7C2F"/>
        <bgColor rgb="FF1E7A45"/>
      </patternFill>
    </fill>
    <fill>
      <patternFill patternType="solid">
        <fgColor rgb="FFEEF2F8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E3"/>
      </left>
      <right style="thin">
        <color rgb="FFD5DAE3"/>
      </right>
      <top style="thin">
        <color rgb="FFD5DAE3"/>
      </top>
      <bottom style="thin">
        <color rgb="FFD5DA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3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A7C2F"/>
      <rgbColor rgb="FF800080"/>
      <rgbColor rgb="FF1E7A45"/>
      <rgbColor rgb="FFC0C0C0"/>
      <rgbColor rgb="FF5B7BB5"/>
      <rgbColor rgb="FF9999FF"/>
      <rgbColor rgb="FFB5504E"/>
      <rgbColor rgb="FFFDF1F1"/>
      <rgbColor rgb="FFEEF2F8"/>
      <rgbColor rgb="FF660066"/>
      <rgbColor rgb="FFC7752A"/>
      <rgbColor rgb="FF0066CC"/>
      <rgbColor rgb="FFD5DA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CFFCC"/>
      <rgbColor rgb="FFFFFF99"/>
      <rgbColor rgb="FF99CCFF"/>
      <rgbColor rgb="FFFF99CC"/>
      <rgbColor rgb="FFCC99FF"/>
      <rgbColor rgb="FFFFC9C9"/>
      <rgbColor rgb="FF3366FF"/>
      <rgbColor rgb="FF33CCCC"/>
      <rgbColor rgb="FF99CC00"/>
      <rgbColor rgb="FFFFCC00"/>
      <rgbColor rgb="FFFF9900"/>
      <rgbColor rgb="FFEB6834"/>
      <rgbColor rgb="FF7A5BA6"/>
      <rgbColor rgb="FF8A93A8"/>
      <rgbColor rgb="FF003366"/>
      <rgbColor rgb="FF3E8E7E"/>
      <rgbColor rgb="FF003300"/>
      <rgbColor rgb="FF1A1A1A"/>
      <rgbColor rgb="FF993300"/>
      <rgbColor rgb="FF993366"/>
      <rgbColor rgb="FF52514E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4" min="4" style="1" width="15"/>
    <col collapsed="false" customWidth="true" hidden="false" outlineLevel="0" max="6" min="5" style="1" width="10"/>
    <col collapsed="false" customWidth="true" hidden="false" outlineLevel="0" max="7" min="7" style="1" width="7"/>
    <col collapsed="false" customWidth="true" hidden="false" outlineLevel="0" max="8" min="8" style="1" width="30"/>
    <col collapsed="false" customWidth="true" hidden="false" outlineLevel="0" max="9" min="9" style="1" width="8"/>
    <col collapsed="false" customWidth="true" hidden="false" outlineLevel="0" max="10" min="10" style="1" width="24"/>
    <col collapsed="false" customWidth="true" hidden="false" outlineLevel="0" max="18" min="11" style="1" width="4.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4" customFormat="false" ht="33.7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7" t="s">
        <v>16</v>
      </c>
      <c r="P4" s="7" t="s">
        <v>17</v>
      </c>
      <c r="Q4" s="6" t="s">
        <v>18</v>
      </c>
      <c r="R4" s="6" t="s">
        <v>19</v>
      </c>
    </row>
    <row r="5" customFormat="false" ht="25.5" hidden="false" customHeight="true" outlineLevel="0" collapsed="false">
      <c r="A5" s="8" t="s">
        <v>20</v>
      </c>
      <c r="B5" s="9" t="s">
        <v>21</v>
      </c>
      <c r="C5" s="10" t="s">
        <v>22</v>
      </c>
      <c r="D5" s="11" t="s">
        <v>23</v>
      </c>
      <c r="E5" s="12" t="n">
        <v>46231</v>
      </c>
      <c r="F5" s="12" t="n">
        <v>46231</v>
      </c>
      <c r="G5" s="11" t="n">
        <f aca="false">F5-E5+1</f>
        <v>1</v>
      </c>
      <c r="H5" s="10" t="s">
        <v>24</v>
      </c>
      <c r="I5" s="13" t="n">
        <v>1</v>
      </c>
      <c r="J5" s="10"/>
      <c r="K5" s="14"/>
      <c r="L5" s="15"/>
      <c r="M5" s="15"/>
      <c r="N5" s="15"/>
      <c r="O5" s="16"/>
      <c r="P5" s="16"/>
      <c r="Q5" s="15"/>
      <c r="R5" s="15"/>
    </row>
    <row r="6" customFormat="false" ht="25.5" hidden="false" customHeight="true" outlineLevel="0" collapsed="false">
      <c r="A6" s="17" t="s">
        <v>25</v>
      </c>
      <c r="B6" s="18" t="s">
        <v>21</v>
      </c>
      <c r="C6" s="19" t="s">
        <v>26</v>
      </c>
      <c r="D6" s="20" t="s">
        <v>27</v>
      </c>
      <c r="E6" s="21" t="n">
        <v>46231</v>
      </c>
      <c r="F6" s="21" t="n">
        <v>46231</v>
      </c>
      <c r="G6" s="20" t="n">
        <f aca="false">F6-E6+1</f>
        <v>1</v>
      </c>
      <c r="H6" s="19" t="s">
        <v>28</v>
      </c>
      <c r="I6" s="22" t="n">
        <v>1</v>
      </c>
      <c r="J6" s="19"/>
      <c r="K6" s="14"/>
      <c r="L6" s="23"/>
      <c r="M6" s="23"/>
      <c r="N6" s="23"/>
      <c r="O6" s="16"/>
      <c r="P6" s="16"/>
      <c r="Q6" s="23"/>
      <c r="R6" s="23"/>
    </row>
    <row r="7" customFormat="false" ht="25.5" hidden="false" customHeight="true" outlineLevel="0" collapsed="false">
      <c r="A7" s="8" t="s">
        <v>29</v>
      </c>
      <c r="B7" s="9" t="s">
        <v>21</v>
      </c>
      <c r="C7" s="10" t="s">
        <v>30</v>
      </c>
      <c r="D7" s="11" t="s">
        <v>27</v>
      </c>
      <c r="E7" s="12" t="n">
        <v>46231</v>
      </c>
      <c r="F7" s="12" t="n">
        <v>46231</v>
      </c>
      <c r="G7" s="11" t="n">
        <f aca="false">F7-E7+1</f>
        <v>1</v>
      </c>
      <c r="H7" s="24" t="s">
        <v>31</v>
      </c>
      <c r="I7" s="13" t="n">
        <v>1</v>
      </c>
      <c r="J7" s="10"/>
      <c r="K7" s="14"/>
      <c r="L7" s="15"/>
      <c r="M7" s="15"/>
      <c r="N7" s="15"/>
      <c r="O7" s="16"/>
      <c r="P7" s="16"/>
      <c r="Q7" s="15"/>
      <c r="R7" s="15"/>
    </row>
    <row r="8" customFormat="false" ht="25.5" hidden="false" customHeight="true" outlineLevel="0" collapsed="false">
      <c r="A8" s="25" t="s">
        <v>32</v>
      </c>
      <c r="B8" s="26" t="s">
        <v>33</v>
      </c>
      <c r="C8" s="19" t="s">
        <v>34</v>
      </c>
      <c r="D8" s="20" t="s">
        <v>27</v>
      </c>
      <c r="E8" s="21" t="n">
        <v>46232</v>
      </c>
      <c r="F8" s="21" t="n">
        <v>46232</v>
      </c>
      <c r="G8" s="20" t="n">
        <f aca="false">F8-E8+1</f>
        <v>1</v>
      </c>
      <c r="H8" s="27" t="s">
        <v>35</v>
      </c>
      <c r="I8" s="22" t="n">
        <v>1</v>
      </c>
      <c r="J8" s="19" t="s">
        <v>36</v>
      </c>
      <c r="K8" s="23"/>
      <c r="L8" s="28"/>
      <c r="M8" s="23"/>
      <c r="N8" s="23"/>
      <c r="O8" s="16"/>
      <c r="P8" s="16"/>
      <c r="Q8" s="23"/>
      <c r="R8" s="23"/>
    </row>
    <row r="9" customFormat="false" ht="25.5" hidden="false" customHeight="true" outlineLevel="0" collapsed="false">
      <c r="A9" s="29" t="s">
        <v>37</v>
      </c>
      <c r="B9" s="30" t="s">
        <v>33</v>
      </c>
      <c r="C9" s="10" t="s">
        <v>38</v>
      </c>
      <c r="D9" s="11" t="s">
        <v>27</v>
      </c>
      <c r="E9" s="12" t="n">
        <v>46232</v>
      </c>
      <c r="F9" s="12" t="n">
        <v>46232</v>
      </c>
      <c r="G9" s="11" t="n">
        <f aca="false">F9-E9+1</f>
        <v>1</v>
      </c>
      <c r="H9" s="24" t="s">
        <v>39</v>
      </c>
      <c r="I9" s="13" t="n">
        <v>1</v>
      </c>
      <c r="J9" s="10"/>
      <c r="K9" s="15"/>
      <c r="L9" s="28"/>
      <c r="M9" s="15"/>
      <c r="N9" s="15"/>
      <c r="O9" s="16"/>
      <c r="P9" s="16"/>
      <c r="Q9" s="15"/>
      <c r="R9" s="15"/>
    </row>
    <row r="10" customFormat="false" ht="25.5" hidden="false" customHeight="true" outlineLevel="0" collapsed="false">
      <c r="A10" s="25" t="s">
        <v>40</v>
      </c>
      <c r="B10" s="26" t="s">
        <v>33</v>
      </c>
      <c r="C10" s="19" t="s">
        <v>41</v>
      </c>
      <c r="D10" s="20" t="s">
        <v>27</v>
      </c>
      <c r="E10" s="21" t="n">
        <v>46232</v>
      </c>
      <c r="F10" s="21" t="n">
        <v>46232</v>
      </c>
      <c r="G10" s="20" t="n">
        <f aca="false">F10-E10+1</f>
        <v>1</v>
      </c>
      <c r="H10" s="27" t="s">
        <v>42</v>
      </c>
      <c r="I10" s="22" t="n">
        <v>1</v>
      </c>
      <c r="J10" s="27" t="s">
        <v>43</v>
      </c>
      <c r="K10" s="23"/>
      <c r="L10" s="28"/>
      <c r="M10" s="23"/>
      <c r="N10" s="23"/>
      <c r="O10" s="16"/>
      <c r="P10" s="16"/>
      <c r="Q10" s="23"/>
      <c r="R10" s="23"/>
    </row>
    <row r="11" customFormat="false" ht="25.5" hidden="false" customHeight="true" outlineLevel="0" collapsed="false">
      <c r="A11" s="29" t="s">
        <v>44</v>
      </c>
      <c r="B11" s="30" t="s">
        <v>33</v>
      </c>
      <c r="C11" s="10" t="s">
        <v>45</v>
      </c>
      <c r="D11" s="11" t="s">
        <v>27</v>
      </c>
      <c r="E11" s="12" t="n">
        <v>46232</v>
      </c>
      <c r="F11" s="12" t="n">
        <v>46232</v>
      </c>
      <c r="G11" s="11" t="n">
        <f aca="false">F11-E11+1</f>
        <v>1</v>
      </c>
      <c r="H11" s="10" t="s">
        <v>46</v>
      </c>
      <c r="I11" s="13" t="n">
        <v>1</v>
      </c>
      <c r="J11" s="10" t="s">
        <v>47</v>
      </c>
      <c r="K11" s="15"/>
      <c r="L11" s="28"/>
      <c r="M11" s="15"/>
      <c r="N11" s="15"/>
      <c r="O11" s="16"/>
      <c r="P11" s="16"/>
      <c r="Q11" s="15"/>
      <c r="R11" s="15"/>
    </row>
    <row r="12" customFormat="false" ht="25.5" hidden="false" customHeight="true" outlineLevel="0" collapsed="false">
      <c r="A12" s="25" t="s">
        <v>48</v>
      </c>
      <c r="B12" s="26" t="s">
        <v>33</v>
      </c>
      <c r="C12" s="19" t="s">
        <v>49</v>
      </c>
      <c r="D12" s="20" t="s">
        <v>27</v>
      </c>
      <c r="E12" s="21" t="n">
        <v>46232</v>
      </c>
      <c r="F12" s="21" t="n">
        <v>46232</v>
      </c>
      <c r="G12" s="20" t="n">
        <f aca="false">F12-E12+1</f>
        <v>1</v>
      </c>
      <c r="H12" s="19" t="s">
        <v>50</v>
      </c>
      <c r="I12" s="22" t="n">
        <v>1</v>
      </c>
      <c r="J12" s="19" t="s">
        <v>51</v>
      </c>
      <c r="K12" s="23"/>
      <c r="L12" s="28"/>
      <c r="M12" s="23"/>
      <c r="N12" s="23"/>
      <c r="O12" s="16"/>
      <c r="P12" s="16"/>
      <c r="Q12" s="23"/>
      <c r="R12" s="23"/>
    </row>
    <row r="13" customFormat="false" ht="25.5" hidden="false" customHeight="true" outlineLevel="0" collapsed="false">
      <c r="A13" s="31" t="s">
        <v>52</v>
      </c>
      <c r="B13" s="32" t="s">
        <v>53</v>
      </c>
      <c r="C13" s="24" t="s">
        <v>54</v>
      </c>
      <c r="D13" s="11" t="s">
        <v>27</v>
      </c>
      <c r="E13" s="12" t="n">
        <v>46233</v>
      </c>
      <c r="F13" s="12" t="n">
        <v>46233</v>
      </c>
      <c r="G13" s="11" t="n">
        <f aca="false">F13-E13+1</f>
        <v>1</v>
      </c>
      <c r="H13" s="10" t="s">
        <v>55</v>
      </c>
      <c r="I13" s="13" t="n">
        <v>1</v>
      </c>
      <c r="J13" s="10"/>
      <c r="K13" s="15"/>
      <c r="L13" s="15"/>
      <c r="M13" s="33"/>
      <c r="N13" s="15"/>
      <c r="O13" s="16"/>
      <c r="P13" s="16"/>
      <c r="Q13" s="15"/>
      <c r="R13" s="15"/>
    </row>
    <row r="14" customFormat="false" ht="25.5" hidden="false" customHeight="true" outlineLevel="0" collapsed="false">
      <c r="A14" s="34" t="s">
        <v>56</v>
      </c>
      <c r="B14" s="35" t="s">
        <v>53</v>
      </c>
      <c r="C14" s="27" t="s">
        <v>57</v>
      </c>
      <c r="D14" s="20" t="s">
        <v>27</v>
      </c>
      <c r="E14" s="21" t="n">
        <v>46233</v>
      </c>
      <c r="F14" s="21" t="n">
        <v>46233</v>
      </c>
      <c r="G14" s="20" t="n">
        <f aca="false">F14-E14+1</f>
        <v>1</v>
      </c>
      <c r="H14" s="27" t="s">
        <v>58</v>
      </c>
      <c r="I14" s="22" t="n">
        <v>1</v>
      </c>
      <c r="J14" s="19"/>
      <c r="K14" s="23"/>
      <c r="L14" s="23"/>
      <c r="M14" s="33"/>
      <c r="N14" s="23"/>
      <c r="O14" s="16"/>
      <c r="P14" s="16"/>
      <c r="Q14" s="23"/>
      <c r="R14" s="23"/>
    </row>
    <row r="15" customFormat="false" ht="25.5" hidden="false" customHeight="true" outlineLevel="0" collapsed="false">
      <c r="A15" s="31" t="s">
        <v>59</v>
      </c>
      <c r="B15" s="32" t="s">
        <v>53</v>
      </c>
      <c r="C15" s="24" t="s">
        <v>60</v>
      </c>
      <c r="D15" s="11" t="s">
        <v>27</v>
      </c>
      <c r="E15" s="12" t="n">
        <v>46233</v>
      </c>
      <c r="F15" s="12" t="n">
        <v>46233</v>
      </c>
      <c r="G15" s="11" t="n">
        <f aca="false">F15-E15+1</f>
        <v>1</v>
      </c>
      <c r="H15" s="10" t="s">
        <v>61</v>
      </c>
      <c r="I15" s="13" t="n">
        <v>1</v>
      </c>
      <c r="J15" s="10"/>
      <c r="K15" s="15"/>
      <c r="L15" s="15"/>
      <c r="M15" s="33"/>
      <c r="N15" s="15"/>
      <c r="O15" s="16"/>
      <c r="P15" s="16"/>
      <c r="Q15" s="15"/>
      <c r="R15" s="15"/>
    </row>
    <row r="16" customFormat="false" ht="25.5" hidden="false" customHeight="true" outlineLevel="0" collapsed="false">
      <c r="A16" s="34" t="s">
        <v>62</v>
      </c>
      <c r="B16" s="35" t="s">
        <v>53</v>
      </c>
      <c r="C16" s="27" t="s">
        <v>63</v>
      </c>
      <c r="D16" s="20" t="s">
        <v>27</v>
      </c>
      <c r="E16" s="21" t="n">
        <v>46233</v>
      </c>
      <c r="F16" s="21" t="n">
        <v>46233</v>
      </c>
      <c r="G16" s="20" t="n">
        <f aca="false">F16-E16+1</f>
        <v>1</v>
      </c>
      <c r="H16" s="19" t="s">
        <v>64</v>
      </c>
      <c r="I16" s="22" t="n">
        <v>1</v>
      </c>
      <c r="J16" s="19"/>
      <c r="K16" s="23"/>
      <c r="L16" s="23"/>
      <c r="M16" s="33"/>
      <c r="N16" s="23"/>
      <c r="O16" s="16"/>
      <c r="P16" s="16"/>
      <c r="Q16" s="23"/>
      <c r="R16" s="23"/>
    </row>
    <row r="17" customFormat="false" ht="25.5" hidden="false" customHeight="true" outlineLevel="0" collapsed="false">
      <c r="A17" s="31" t="s">
        <v>65</v>
      </c>
      <c r="B17" s="32" t="s">
        <v>53</v>
      </c>
      <c r="C17" s="24" t="s">
        <v>66</v>
      </c>
      <c r="D17" s="11" t="s">
        <v>27</v>
      </c>
      <c r="E17" s="12" t="n">
        <v>46233</v>
      </c>
      <c r="F17" s="12" t="n">
        <v>46233</v>
      </c>
      <c r="G17" s="11" t="n">
        <f aca="false">F17-E17+1</f>
        <v>1</v>
      </c>
      <c r="H17" s="10" t="s">
        <v>67</v>
      </c>
      <c r="I17" s="13" t="n">
        <v>1</v>
      </c>
      <c r="J17" s="10" t="s">
        <v>68</v>
      </c>
      <c r="K17" s="15"/>
      <c r="L17" s="15"/>
      <c r="M17" s="33"/>
      <c r="N17" s="15"/>
      <c r="O17" s="16"/>
      <c r="P17" s="16"/>
      <c r="Q17" s="15"/>
      <c r="R17" s="15"/>
    </row>
    <row r="18" customFormat="false" ht="25.5" hidden="false" customHeight="true" outlineLevel="0" collapsed="false">
      <c r="A18" s="34" t="s">
        <v>69</v>
      </c>
      <c r="B18" s="35" t="s">
        <v>53</v>
      </c>
      <c r="C18" s="19" t="s">
        <v>70</v>
      </c>
      <c r="D18" s="20" t="s">
        <v>27</v>
      </c>
      <c r="E18" s="21" t="n">
        <v>46233</v>
      </c>
      <c r="F18" s="21" t="n">
        <v>46233</v>
      </c>
      <c r="G18" s="20" t="n">
        <f aca="false">F18-E18+1</f>
        <v>1</v>
      </c>
      <c r="H18" s="27" t="s">
        <v>71</v>
      </c>
      <c r="I18" s="22" t="n">
        <v>1</v>
      </c>
      <c r="J18" s="19"/>
      <c r="K18" s="23"/>
      <c r="L18" s="23"/>
      <c r="M18" s="33"/>
      <c r="N18" s="23"/>
      <c r="O18" s="16"/>
      <c r="P18" s="16"/>
      <c r="Q18" s="23"/>
      <c r="R18" s="23"/>
    </row>
    <row r="19" customFormat="false" ht="25.5" hidden="false" customHeight="true" outlineLevel="0" collapsed="false">
      <c r="A19" s="31" t="s">
        <v>72</v>
      </c>
      <c r="B19" s="32" t="s">
        <v>53</v>
      </c>
      <c r="C19" s="10" t="s">
        <v>73</v>
      </c>
      <c r="D19" s="11" t="s">
        <v>27</v>
      </c>
      <c r="E19" s="12" t="n">
        <v>46233</v>
      </c>
      <c r="F19" s="12" t="n">
        <v>46233</v>
      </c>
      <c r="G19" s="11" t="n">
        <f aca="false">F19-E19+1</f>
        <v>1</v>
      </c>
      <c r="H19" s="10" t="s">
        <v>74</v>
      </c>
      <c r="I19" s="13" t="n">
        <v>1</v>
      </c>
      <c r="J19" s="10" t="s">
        <v>75</v>
      </c>
      <c r="K19" s="15"/>
      <c r="L19" s="15"/>
      <c r="M19" s="33"/>
      <c r="N19" s="15"/>
      <c r="O19" s="16"/>
      <c r="P19" s="16"/>
      <c r="Q19" s="15"/>
      <c r="R19" s="15"/>
    </row>
    <row r="20" customFormat="false" ht="25.5" hidden="false" customHeight="true" outlineLevel="0" collapsed="false">
      <c r="A20" s="36" t="s">
        <v>76</v>
      </c>
      <c r="B20" s="37" t="s">
        <v>77</v>
      </c>
      <c r="C20" s="27" t="s">
        <v>78</v>
      </c>
      <c r="D20" s="20" t="s">
        <v>79</v>
      </c>
      <c r="E20" s="21" t="n">
        <v>46232</v>
      </c>
      <c r="F20" s="21" t="n">
        <v>46232</v>
      </c>
      <c r="G20" s="20" t="n">
        <f aca="false">F20-E20+1</f>
        <v>1</v>
      </c>
      <c r="H20" s="27" t="s">
        <v>80</v>
      </c>
      <c r="I20" s="22" t="n">
        <v>1</v>
      </c>
      <c r="J20" s="27" t="s">
        <v>81</v>
      </c>
      <c r="K20" s="23"/>
      <c r="L20" s="38"/>
      <c r="M20" s="23"/>
      <c r="N20" s="23"/>
      <c r="O20" s="16"/>
      <c r="P20" s="16"/>
      <c r="Q20" s="23"/>
      <c r="R20" s="23"/>
    </row>
    <row r="21" customFormat="false" ht="25.5" hidden="false" customHeight="true" outlineLevel="0" collapsed="false">
      <c r="A21" s="39" t="s">
        <v>82</v>
      </c>
      <c r="B21" s="40" t="s">
        <v>77</v>
      </c>
      <c r="C21" s="24" t="s">
        <v>83</v>
      </c>
      <c r="D21" s="11" t="s">
        <v>79</v>
      </c>
      <c r="E21" s="12" t="n">
        <v>46233</v>
      </c>
      <c r="F21" s="12" t="n">
        <v>46233</v>
      </c>
      <c r="G21" s="11" t="n">
        <f aca="false">F21-E21+1</f>
        <v>1</v>
      </c>
      <c r="H21" s="24" t="s">
        <v>84</v>
      </c>
      <c r="I21" s="13" t="n">
        <v>1</v>
      </c>
      <c r="J21" s="10"/>
      <c r="K21" s="15"/>
      <c r="L21" s="15"/>
      <c r="M21" s="38"/>
      <c r="N21" s="15"/>
      <c r="O21" s="16"/>
      <c r="P21" s="16"/>
      <c r="Q21" s="15"/>
      <c r="R21" s="15"/>
    </row>
    <row r="22" customFormat="false" ht="25.5" hidden="false" customHeight="true" outlineLevel="0" collapsed="false">
      <c r="A22" s="36" t="s">
        <v>85</v>
      </c>
      <c r="B22" s="37" t="s">
        <v>77</v>
      </c>
      <c r="C22" s="27" t="s">
        <v>86</v>
      </c>
      <c r="D22" s="20" t="s">
        <v>79</v>
      </c>
      <c r="E22" s="21" t="n">
        <v>46233</v>
      </c>
      <c r="F22" s="21" t="n">
        <v>46234</v>
      </c>
      <c r="G22" s="20" t="n">
        <f aca="false">F22-E22+1</f>
        <v>2</v>
      </c>
      <c r="H22" s="27" t="s">
        <v>87</v>
      </c>
      <c r="I22" s="22" t="n">
        <v>1</v>
      </c>
      <c r="J22" s="19" t="s">
        <v>88</v>
      </c>
      <c r="K22" s="23"/>
      <c r="L22" s="23"/>
      <c r="M22" s="38"/>
      <c r="N22" s="38"/>
      <c r="O22" s="16"/>
      <c r="P22" s="16"/>
      <c r="Q22" s="23"/>
      <c r="R22" s="23"/>
    </row>
    <row r="23" customFormat="false" ht="25.5" hidden="false" customHeight="true" outlineLevel="0" collapsed="false">
      <c r="A23" s="39" t="s">
        <v>89</v>
      </c>
      <c r="B23" s="40" t="s">
        <v>77</v>
      </c>
      <c r="C23" s="10" t="s">
        <v>90</v>
      </c>
      <c r="D23" s="11" t="s">
        <v>79</v>
      </c>
      <c r="E23" s="12" t="n">
        <v>46234</v>
      </c>
      <c r="F23" s="12" t="n">
        <v>46234</v>
      </c>
      <c r="G23" s="11" t="n">
        <f aca="false">F23-E23+1</f>
        <v>1</v>
      </c>
      <c r="H23" s="24" t="s">
        <v>91</v>
      </c>
      <c r="I23" s="13" t="n">
        <v>1</v>
      </c>
      <c r="J23" s="10" t="s">
        <v>92</v>
      </c>
      <c r="K23" s="15"/>
      <c r="L23" s="15"/>
      <c r="M23" s="15"/>
      <c r="N23" s="38"/>
      <c r="O23" s="16"/>
      <c r="P23" s="16"/>
      <c r="Q23" s="15"/>
      <c r="R23" s="15"/>
    </row>
    <row r="24" customFormat="false" ht="25.5" hidden="false" customHeight="true" outlineLevel="0" collapsed="false">
      <c r="A24" s="36" t="s">
        <v>93</v>
      </c>
      <c r="B24" s="37" t="s">
        <v>77</v>
      </c>
      <c r="C24" s="19" t="s">
        <v>94</v>
      </c>
      <c r="D24" s="20" t="s">
        <v>79</v>
      </c>
      <c r="E24" s="21" t="n">
        <v>46234</v>
      </c>
      <c r="F24" s="21" t="n">
        <v>46235</v>
      </c>
      <c r="G24" s="20" t="n">
        <f aca="false">F24-E24+1</f>
        <v>2</v>
      </c>
      <c r="H24" s="27" t="s">
        <v>95</v>
      </c>
      <c r="I24" s="22" t="n">
        <v>1</v>
      </c>
      <c r="J24" s="19"/>
      <c r="K24" s="23"/>
      <c r="L24" s="23"/>
      <c r="M24" s="23"/>
      <c r="N24" s="38"/>
      <c r="O24" s="38"/>
      <c r="P24" s="16"/>
      <c r="Q24" s="23"/>
      <c r="R24" s="23"/>
    </row>
    <row r="25" customFormat="false" ht="25.5" hidden="false" customHeight="true" outlineLevel="0" collapsed="false">
      <c r="A25" s="41" t="s">
        <v>96</v>
      </c>
      <c r="B25" s="42" t="s">
        <v>97</v>
      </c>
      <c r="C25" s="24" t="s">
        <v>98</v>
      </c>
      <c r="D25" s="11" t="s">
        <v>27</v>
      </c>
      <c r="E25" s="12" t="n">
        <v>46234</v>
      </c>
      <c r="F25" s="12" t="n">
        <v>46234</v>
      </c>
      <c r="G25" s="11" t="n">
        <f aca="false">F25-E25+1</f>
        <v>1</v>
      </c>
      <c r="H25" s="24" t="s">
        <v>99</v>
      </c>
      <c r="I25" s="13" t="n">
        <v>1</v>
      </c>
      <c r="J25" s="24" t="s">
        <v>100</v>
      </c>
      <c r="K25" s="15"/>
      <c r="L25" s="15"/>
      <c r="M25" s="15"/>
      <c r="N25" s="43"/>
      <c r="O25" s="16"/>
      <c r="P25" s="16"/>
      <c r="Q25" s="15"/>
      <c r="R25" s="15"/>
    </row>
    <row r="26" customFormat="false" ht="25.5" hidden="false" customHeight="true" outlineLevel="0" collapsed="false">
      <c r="A26" s="44" t="s">
        <v>101</v>
      </c>
      <c r="B26" s="45" t="s">
        <v>97</v>
      </c>
      <c r="C26" s="19" t="s">
        <v>102</v>
      </c>
      <c r="D26" s="20" t="s">
        <v>27</v>
      </c>
      <c r="E26" s="21" t="n">
        <v>46234</v>
      </c>
      <c r="F26" s="21" t="n">
        <v>46234</v>
      </c>
      <c r="G26" s="20" t="n">
        <f aca="false">F26-E26+1</f>
        <v>1</v>
      </c>
      <c r="H26" s="19" t="s">
        <v>103</v>
      </c>
      <c r="I26" s="22" t="n">
        <v>1</v>
      </c>
      <c r="J26" s="19" t="s">
        <v>104</v>
      </c>
      <c r="K26" s="23"/>
      <c r="L26" s="23"/>
      <c r="M26" s="23"/>
      <c r="N26" s="43"/>
      <c r="O26" s="16"/>
      <c r="P26" s="16"/>
      <c r="Q26" s="23"/>
      <c r="R26" s="23"/>
    </row>
    <row r="27" customFormat="false" ht="25.5" hidden="false" customHeight="true" outlineLevel="0" collapsed="false">
      <c r="A27" s="41" t="s">
        <v>105</v>
      </c>
      <c r="B27" s="42" t="s">
        <v>97</v>
      </c>
      <c r="C27" s="10" t="s">
        <v>106</v>
      </c>
      <c r="D27" s="11" t="s">
        <v>27</v>
      </c>
      <c r="E27" s="12" t="n">
        <v>46234</v>
      </c>
      <c r="F27" s="12" t="n">
        <v>46234</v>
      </c>
      <c r="G27" s="11" t="n">
        <f aca="false">F27-E27+1</f>
        <v>1</v>
      </c>
      <c r="H27" s="24" t="s">
        <v>107</v>
      </c>
      <c r="I27" s="13" t="n">
        <v>1</v>
      </c>
      <c r="J27" s="10" t="s">
        <v>108</v>
      </c>
      <c r="K27" s="15"/>
      <c r="L27" s="15"/>
      <c r="M27" s="15"/>
      <c r="N27" s="43"/>
      <c r="O27" s="16"/>
      <c r="P27" s="16"/>
      <c r="Q27" s="15"/>
      <c r="R27" s="15"/>
    </row>
    <row r="28" customFormat="false" ht="25.5" hidden="false" customHeight="true" outlineLevel="0" collapsed="false">
      <c r="A28" s="44" t="s">
        <v>109</v>
      </c>
      <c r="B28" s="45" t="s">
        <v>97</v>
      </c>
      <c r="C28" s="19" t="s">
        <v>110</v>
      </c>
      <c r="D28" s="20" t="s">
        <v>27</v>
      </c>
      <c r="E28" s="21" t="n">
        <v>46234</v>
      </c>
      <c r="F28" s="21" t="n">
        <v>46234</v>
      </c>
      <c r="G28" s="20" t="n">
        <f aca="false">F28-E28+1</f>
        <v>1</v>
      </c>
      <c r="H28" s="19" t="s">
        <v>111</v>
      </c>
      <c r="I28" s="22" t="n">
        <v>1</v>
      </c>
      <c r="J28" s="27" t="s">
        <v>112</v>
      </c>
      <c r="K28" s="23"/>
      <c r="L28" s="23"/>
      <c r="M28" s="23"/>
      <c r="N28" s="43"/>
      <c r="O28" s="16"/>
      <c r="P28" s="16"/>
      <c r="Q28" s="23"/>
      <c r="R28" s="23"/>
    </row>
    <row r="29" customFormat="false" ht="25.5" hidden="false" customHeight="true" outlineLevel="0" collapsed="false">
      <c r="A29" s="41" t="s">
        <v>113</v>
      </c>
      <c r="B29" s="42" t="s">
        <v>97</v>
      </c>
      <c r="C29" s="10" t="s">
        <v>114</v>
      </c>
      <c r="D29" s="11" t="s">
        <v>27</v>
      </c>
      <c r="E29" s="12" t="n">
        <v>46234</v>
      </c>
      <c r="F29" s="12" t="n">
        <v>46234</v>
      </c>
      <c r="G29" s="11" t="n">
        <f aca="false">F29-E29+1</f>
        <v>1</v>
      </c>
      <c r="H29" s="24" t="s">
        <v>115</v>
      </c>
      <c r="I29" s="13" t="n">
        <v>1</v>
      </c>
      <c r="J29" s="24" t="s">
        <v>116</v>
      </c>
      <c r="K29" s="15"/>
      <c r="L29" s="15"/>
      <c r="M29" s="15"/>
      <c r="N29" s="43"/>
      <c r="O29" s="16"/>
      <c r="P29" s="16"/>
      <c r="Q29" s="15"/>
      <c r="R29" s="15"/>
    </row>
    <row r="30" customFormat="false" ht="25.5" hidden="false" customHeight="true" outlineLevel="0" collapsed="false">
      <c r="A30" s="44" t="s">
        <v>117</v>
      </c>
      <c r="B30" s="45" t="s">
        <v>97</v>
      </c>
      <c r="C30" s="19" t="s">
        <v>118</v>
      </c>
      <c r="D30" s="20" t="s">
        <v>27</v>
      </c>
      <c r="E30" s="21" t="n">
        <v>46234</v>
      </c>
      <c r="F30" s="21" t="n">
        <v>46234</v>
      </c>
      <c r="G30" s="20" t="n">
        <f aca="false">F30-E30+1</f>
        <v>1</v>
      </c>
      <c r="H30" s="19" t="s">
        <v>119</v>
      </c>
      <c r="I30" s="22" t="n">
        <v>1</v>
      </c>
      <c r="J30" s="27" t="s">
        <v>120</v>
      </c>
      <c r="K30" s="23"/>
      <c r="L30" s="23"/>
      <c r="M30" s="23"/>
      <c r="N30" s="43"/>
      <c r="O30" s="16"/>
      <c r="P30" s="16"/>
      <c r="Q30" s="23"/>
      <c r="R30" s="23"/>
    </row>
    <row r="31" customFormat="false" ht="25.5" hidden="false" customHeight="true" outlineLevel="0" collapsed="false">
      <c r="A31" s="46" t="s">
        <v>121</v>
      </c>
      <c r="B31" s="47" t="s">
        <v>122</v>
      </c>
      <c r="C31" s="10" t="s">
        <v>123</v>
      </c>
      <c r="D31" s="11" t="s">
        <v>79</v>
      </c>
      <c r="E31" s="12" t="n">
        <v>46237</v>
      </c>
      <c r="F31" s="12" t="n">
        <v>46237</v>
      </c>
      <c r="G31" s="11" t="n">
        <f aca="false">F31-E31+1</f>
        <v>1</v>
      </c>
      <c r="H31" s="24" t="s">
        <v>124</v>
      </c>
      <c r="I31" s="13" t="n">
        <v>1</v>
      </c>
      <c r="J31" s="10"/>
      <c r="K31" s="15"/>
      <c r="L31" s="15"/>
      <c r="M31" s="15"/>
      <c r="N31" s="15"/>
      <c r="O31" s="16"/>
      <c r="P31" s="16"/>
      <c r="Q31" s="48"/>
      <c r="R31" s="15"/>
    </row>
    <row r="32" customFormat="false" ht="25.5" hidden="false" customHeight="true" outlineLevel="0" collapsed="false">
      <c r="A32" s="49" t="s">
        <v>125</v>
      </c>
      <c r="B32" s="50" t="s">
        <v>122</v>
      </c>
      <c r="C32" s="19" t="s">
        <v>126</v>
      </c>
      <c r="D32" s="20" t="s">
        <v>27</v>
      </c>
      <c r="E32" s="21" t="n">
        <v>46237</v>
      </c>
      <c r="F32" s="21" t="n">
        <v>46237</v>
      </c>
      <c r="G32" s="20" t="n">
        <f aca="false">F32-E32+1</f>
        <v>1</v>
      </c>
      <c r="H32" s="27" t="s">
        <v>127</v>
      </c>
      <c r="I32" s="22" t="n">
        <v>1</v>
      </c>
      <c r="J32" s="27" t="s">
        <v>128</v>
      </c>
      <c r="K32" s="23"/>
      <c r="L32" s="23"/>
      <c r="M32" s="23"/>
      <c r="N32" s="23"/>
      <c r="O32" s="16"/>
      <c r="P32" s="16"/>
      <c r="Q32" s="48"/>
      <c r="R32" s="23"/>
    </row>
    <row r="33" customFormat="false" ht="25.5" hidden="false" customHeight="true" outlineLevel="0" collapsed="false">
      <c r="A33" s="46" t="s">
        <v>129</v>
      </c>
      <c r="B33" s="47" t="s">
        <v>122</v>
      </c>
      <c r="C33" s="24" t="s">
        <v>130</v>
      </c>
      <c r="D33" s="11" t="s">
        <v>27</v>
      </c>
      <c r="E33" s="12" t="n">
        <v>46237</v>
      </c>
      <c r="F33" s="12" t="n">
        <v>46237</v>
      </c>
      <c r="G33" s="11" t="n">
        <f aca="false">F33-E33+1</f>
        <v>1</v>
      </c>
      <c r="H33" s="24" t="s">
        <v>131</v>
      </c>
      <c r="I33" s="51" t="n">
        <v>0.8</v>
      </c>
      <c r="J33" s="24" t="s">
        <v>132</v>
      </c>
      <c r="K33" s="15"/>
      <c r="L33" s="15"/>
      <c r="M33" s="15"/>
      <c r="N33" s="15"/>
      <c r="O33" s="16"/>
      <c r="P33" s="16"/>
      <c r="Q33" s="48"/>
      <c r="R33" s="15"/>
    </row>
    <row r="34" customFormat="false" ht="25.5" hidden="false" customHeight="true" outlineLevel="0" collapsed="false">
      <c r="A34" s="49" t="s">
        <v>133</v>
      </c>
      <c r="B34" s="50" t="s">
        <v>122</v>
      </c>
      <c r="C34" s="19" t="s">
        <v>134</v>
      </c>
      <c r="D34" s="20" t="s">
        <v>27</v>
      </c>
      <c r="E34" s="21" t="n">
        <v>46237</v>
      </c>
      <c r="F34" s="21" t="n">
        <v>46237</v>
      </c>
      <c r="G34" s="20" t="n">
        <f aca="false">F34-E34+1</f>
        <v>1</v>
      </c>
      <c r="H34" s="27" t="s">
        <v>135</v>
      </c>
      <c r="I34" s="22" t="n">
        <v>1</v>
      </c>
      <c r="J34" s="19" t="s">
        <v>136</v>
      </c>
      <c r="K34" s="23"/>
      <c r="L34" s="23"/>
      <c r="M34" s="23"/>
      <c r="N34" s="23"/>
      <c r="O34" s="16"/>
      <c r="P34" s="16"/>
      <c r="Q34" s="48"/>
      <c r="R34" s="23"/>
    </row>
    <row r="35" customFormat="false" ht="25.5" hidden="false" customHeight="true" outlineLevel="0" collapsed="false">
      <c r="A35" s="52" t="s">
        <v>137</v>
      </c>
      <c r="B35" s="53" t="s">
        <v>138</v>
      </c>
      <c r="C35" s="10" t="s">
        <v>139</v>
      </c>
      <c r="D35" s="11" t="s">
        <v>79</v>
      </c>
      <c r="E35" s="12" t="n">
        <v>46235</v>
      </c>
      <c r="F35" s="12" t="n">
        <v>46236</v>
      </c>
      <c r="G35" s="11" t="n">
        <f aca="false">F35-E35+1</f>
        <v>2</v>
      </c>
      <c r="H35" s="10" t="s">
        <v>111</v>
      </c>
      <c r="I35" s="13" t="n">
        <v>1</v>
      </c>
      <c r="J35" s="10"/>
      <c r="K35" s="15"/>
      <c r="L35" s="15"/>
      <c r="M35" s="15"/>
      <c r="N35" s="15"/>
      <c r="O35" s="54"/>
      <c r="P35" s="54"/>
      <c r="Q35" s="15"/>
      <c r="R35" s="15"/>
    </row>
    <row r="36" customFormat="false" ht="25.5" hidden="false" customHeight="true" outlineLevel="0" collapsed="false">
      <c r="A36" s="55" t="s">
        <v>140</v>
      </c>
      <c r="B36" s="56" t="s">
        <v>138</v>
      </c>
      <c r="C36" s="27" t="s">
        <v>141</v>
      </c>
      <c r="D36" s="20" t="s">
        <v>79</v>
      </c>
      <c r="E36" s="21" t="n">
        <v>46237</v>
      </c>
      <c r="F36" s="21" t="n">
        <v>46237</v>
      </c>
      <c r="G36" s="20" t="n">
        <f aca="false">F36-E36+1</f>
        <v>1</v>
      </c>
      <c r="H36" s="27" t="s">
        <v>142</v>
      </c>
      <c r="I36" s="22" t="n">
        <v>1</v>
      </c>
      <c r="J36" s="19"/>
      <c r="K36" s="23"/>
      <c r="L36" s="23"/>
      <c r="M36" s="23"/>
      <c r="N36" s="23"/>
      <c r="O36" s="16"/>
      <c r="P36" s="16"/>
      <c r="Q36" s="54"/>
      <c r="R36" s="23"/>
    </row>
    <row r="37" customFormat="false" ht="25.5" hidden="false" customHeight="true" outlineLevel="0" collapsed="false">
      <c r="A37" s="52" t="s">
        <v>143</v>
      </c>
      <c r="B37" s="53" t="s">
        <v>138</v>
      </c>
      <c r="C37" s="10" t="s">
        <v>144</v>
      </c>
      <c r="D37" s="11" t="s">
        <v>27</v>
      </c>
      <c r="E37" s="12" t="n">
        <v>46237</v>
      </c>
      <c r="F37" s="12" t="n">
        <v>46237</v>
      </c>
      <c r="G37" s="11" t="n">
        <f aca="false">F37-E37+1</f>
        <v>1</v>
      </c>
      <c r="H37" s="10" t="s">
        <v>145</v>
      </c>
      <c r="I37" s="13" t="n">
        <v>1</v>
      </c>
      <c r="J37" s="10"/>
      <c r="K37" s="15"/>
      <c r="L37" s="15"/>
      <c r="M37" s="15"/>
      <c r="N37" s="15"/>
      <c r="O37" s="16"/>
      <c r="P37" s="16"/>
      <c r="Q37" s="54"/>
      <c r="R37" s="15"/>
    </row>
    <row r="38" customFormat="false" ht="25.5" hidden="false" customHeight="true" outlineLevel="0" collapsed="false">
      <c r="A38" s="55" t="s">
        <v>146</v>
      </c>
      <c r="B38" s="56" t="s">
        <v>138</v>
      </c>
      <c r="C38" s="19" t="s">
        <v>147</v>
      </c>
      <c r="D38" s="20" t="s">
        <v>23</v>
      </c>
      <c r="E38" s="21" t="n">
        <v>46237</v>
      </c>
      <c r="F38" s="21" t="n">
        <v>46237</v>
      </c>
      <c r="G38" s="20" t="n">
        <f aca="false">F38-E38+1</f>
        <v>1</v>
      </c>
      <c r="H38" s="19" t="s">
        <v>148</v>
      </c>
      <c r="I38" s="57" t="n">
        <v>0.9</v>
      </c>
      <c r="J38" s="19"/>
      <c r="K38" s="23"/>
      <c r="L38" s="23"/>
      <c r="M38" s="23"/>
      <c r="N38" s="23"/>
      <c r="O38" s="16"/>
      <c r="P38" s="16"/>
      <c r="Q38" s="54"/>
      <c r="R38" s="23"/>
    </row>
    <row r="39" customFormat="false" ht="25.5" hidden="false" customHeight="true" outlineLevel="0" collapsed="false">
      <c r="A39" s="52" t="s">
        <v>149</v>
      </c>
      <c r="B39" s="53" t="s">
        <v>138</v>
      </c>
      <c r="C39" s="10" t="s">
        <v>150</v>
      </c>
      <c r="D39" s="11" t="s">
        <v>79</v>
      </c>
      <c r="E39" s="12" t="n">
        <v>46237</v>
      </c>
      <c r="F39" s="12" t="n">
        <v>46237</v>
      </c>
      <c r="G39" s="11" t="n">
        <f aca="false">F39-E39+1</f>
        <v>1</v>
      </c>
      <c r="H39" s="10" t="s">
        <v>151</v>
      </c>
      <c r="I39" s="58" t="n">
        <v>0</v>
      </c>
      <c r="J39" s="10" t="s">
        <v>152</v>
      </c>
      <c r="K39" s="15"/>
      <c r="L39" s="15"/>
      <c r="M39" s="15"/>
      <c r="N39" s="15"/>
      <c r="O39" s="16"/>
      <c r="P39" s="16"/>
      <c r="Q39" s="54"/>
      <c r="R39" s="15"/>
    </row>
    <row r="40" customFormat="false" ht="25.5" hidden="false" customHeight="true" outlineLevel="0" collapsed="false">
      <c r="A40" s="55" t="s">
        <v>153</v>
      </c>
      <c r="B40" s="56" t="s">
        <v>138</v>
      </c>
      <c r="C40" s="19" t="s">
        <v>154</v>
      </c>
      <c r="D40" s="20" t="s">
        <v>23</v>
      </c>
      <c r="E40" s="21" t="n">
        <v>46237</v>
      </c>
      <c r="F40" s="21" t="n">
        <v>46237</v>
      </c>
      <c r="G40" s="20" t="n">
        <f aca="false">F40-E40+1</f>
        <v>1</v>
      </c>
      <c r="H40" s="19" t="s">
        <v>155</v>
      </c>
      <c r="I40" s="59" t="n">
        <v>0</v>
      </c>
      <c r="J40" s="19"/>
      <c r="K40" s="23"/>
      <c r="L40" s="23"/>
      <c r="M40" s="23"/>
      <c r="N40" s="23"/>
      <c r="O40" s="16"/>
      <c r="P40" s="16"/>
      <c r="Q40" s="54"/>
      <c r="R40" s="23"/>
    </row>
    <row r="41" customFormat="false" ht="25.5" hidden="false" customHeight="true" outlineLevel="0" collapsed="false">
      <c r="A41" s="52" t="s">
        <v>156</v>
      </c>
      <c r="B41" s="53" t="s">
        <v>138</v>
      </c>
      <c r="C41" s="10" t="s">
        <v>157</v>
      </c>
      <c r="D41" s="11" t="s">
        <v>27</v>
      </c>
      <c r="E41" s="12" t="n">
        <v>46238</v>
      </c>
      <c r="F41" s="12" t="n">
        <v>46238</v>
      </c>
      <c r="G41" s="11" t="n">
        <f aca="false">F41-E41+1</f>
        <v>1</v>
      </c>
      <c r="H41" s="10" t="s">
        <v>158</v>
      </c>
      <c r="I41" s="58" t="n">
        <v>0</v>
      </c>
      <c r="J41" s="10"/>
      <c r="K41" s="15"/>
      <c r="L41" s="15"/>
      <c r="M41" s="15"/>
      <c r="N41" s="15"/>
      <c r="O41" s="16"/>
      <c r="P41" s="16"/>
      <c r="Q41" s="15"/>
      <c r="R41" s="54"/>
    </row>
    <row r="43" customFormat="false" ht="15" hidden="false" customHeight="true" outlineLevel="0" collapsed="false">
      <c r="A43" s="60"/>
      <c r="B43" s="61" t="s">
        <v>159</v>
      </c>
      <c r="C43" s="62" t="str">
        <f aca="false">_xlfn.CONCAT("총 작업 ", COUNTA(A5:A41), "건")</f>
        <v>총 작업 37건</v>
      </c>
      <c r="D43" s="60"/>
      <c r="E43" s="60"/>
      <c r="F43" s="60"/>
      <c r="G43" s="63" t="n">
        <f aca="false">SUM(G5:G41)</f>
        <v>40</v>
      </c>
      <c r="H43" s="64" t="s">
        <v>160</v>
      </c>
      <c r="I43" s="65" t="n">
        <f aca="false">AVERAGE(I5:I41)</f>
        <v>0.910810810810811</v>
      </c>
      <c r="J43" s="60"/>
    </row>
    <row r="45" customFormat="false" ht="15" hidden="false" customHeight="true" outlineLevel="0" collapsed="false">
      <c r="A45" s="66" t="s">
        <v>161</v>
      </c>
    </row>
    <row r="46" customFormat="false" ht="15" hidden="false" customHeight="true" outlineLevel="0" collapsed="false">
      <c r="A46" s="14"/>
      <c r="B46" s="67" t="s">
        <v>162</v>
      </c>
    </row>
    <row r="47" customFormat="false" ht="15" hidden="false" customHeight="true" outlineLevel="0" collapsed="false">
      <c r="A47" s="28"/>
      <c r="B47" s="67" t="s">
        <v>163</v>
      </c>
    </row>
    <row r="48" customFormat="false" ht="15" hidden="false" customHeight="true" outlineLevel="0" collapsed="false">
      <c r="A48" s="33"/>
      <c r="B48" s="67" t="s">
        <v>164</v>
      </c>
    </row>
    <row r="49" customFormat="false" ht="15" hidden="false" customHeight="true" outlineLevel="0" collapsed="false">
      <c r="A49" s="38"/>
      <c r="B49" s="67" t="s">
        <v>165</v>
      </c>
    </row>
    <row r="50" customFormat="false" ht="15" hidden="false" customHeight="true" outlineLevel="0" collapsed="false">
      <c r="A50" s="43"/>
      <c r="B50" s="67" t="s">
        <v>166</v>
      </c>
    </row>
    <row r="51" customFormat="false" ht="15" hidden="false" customHeight="true" outlineLevel="0" collapsed="false">
      <c r="A51" s="48"/>
      <c r="B51" s="67" t="s">
        <v>167</v>
      </c>
    </row>
    <row r="52" customFormat="false" ht="15" hidden="false" customHeight="true" outlineLevel="0" collapsed="false">
      <c r="A52" s="54"/>
      <c r="B52" s="67" t="s">
        <v>168</v>
      </c>
    </row>
    <row r="53" customFormat="false" ht="15" hidden="false" customHeight="true" outlineLevel="0" collapsed="false">
      <c r="A53" s="16"/>
      <c r="B53" s="68" t="s">
        <v>169</v>
      </c>
    </row>
    <row r="55" customFormat="false" ht="15" hidden="false" customHeight="true" outlineLevel="0" collapsed="false">
      <c r="A55" s="69" t="s">
        <v>170</v>
      </c>
    </row>
    <row r="56" customFormat="false" ht="15" hidden="false" customHeight="true" outlineLevel="0" collapsed="false">
      <c r="A56" s="69" t="s">
        <v>171</v>
      </c>
    </row>
  </sheetData>
  <mergeCells count="2">
    <mergeCell ref="A1:R1"/>
    <mergeCell ref="A2:R2"/>
  </mergeCells>
  <dataValidations count="1">
    <dataValidation allowBlank="false" errorStyle="stop" operator="between" showDropDown="false" showErrorMessage="false" showInputMessage="false" sqref="I5:I41" type="decimal">
      <formula1>0</formula1>
      <formula2>1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2026-08-03T06:51:28Z</dcterms:created>
  <dc:creator>openpyxl</dc:creator>
  <dc:description/>
  <dc:language>en-US</dc:language>
  <cp:lastModifiedBy/>
  <dcterms:modified xsi:type="dcterms:W3CDTF">2026-08-03T06:51:58Z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